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gurn3584\Documents\GitHub\Orange-Games\docs\"/>
    </mc:Choice>
  </mc:AlternateContent>
  <xr:revisionPtr revIDLastSave="0" documentId="13_ncr:1_{0CA74035-0329-4F53-B723-F483BCF0951B}" xr6:coauthVersionLast="47" xr6:coauthVersionMax="47" xr10:uidLastSave="{00000000-0000-0000-0000-000000000000}"/>
  <bookViews>
    <workbookView xWindow="-110" yWindow="-110" windowWidth="19420" windowHeight="11500" firstSheet="4" activeTab="1" xr2:uid="{00000000-000D-0000-FFFF-FFFF00000000}"/>
  </bookViews>
  <sheets>
    <sheet name="Management Summary" sheetId="3" r:id="rId1"/>
    <sheet name="Gantt" sheetId="1" r:id="rId2"/>
    <sheet name="Team Mate Delverables" sheetId="6" r:id="rId3"/>
    <sheet name="Meetings" sheetId="2" r:id="rId4"/>
    <sheet name="SA" sheetId="4" r:id="rId5"/>
    <sheet name="Overhead"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35" i="1" l="1"/>
  <c r="AS35" i="1"/>
  <c r="AP33" i="1"/>
  <c r="AO33" i="1"/>
  <c r="AD31" i="1"/>
  <c r="Z31" i="1"/>
  <c r="AA29" i="1"/>
  <c r="Z29" i="1"/>
  <c r="AC30" i="1"/>
  <c r="AB30" i="1"/>
  <c r="AA30" i="1"/>
  <c r="Z30" i="1"/>
  <c r="Y28" i="1"/>
  <c r="X28" i="1"/>
  <c r="U27" i="1"/>
  <c r="T27" i="1"/>
  <c r="T5" i="1"/>
  <c r="S5" i="1"/>
  <c r="R5" i="1"/>
  <c r="Q5" i="1"/>
  <c r="P5" i="1"/>
  <c r="O4" i="1"/>
  <c r="N4" i="1"/>
  <c r="M4" i="1"/>
  <c r="L4" i="1"/>
  <c r="J3" i="1"/>
  <c r="I3" i="1"/>
  <c r="AF10" i="1"/>
  <c r="AG10" i="1"/>
  <c r="AH10" i="1"/>
  <c r="AI10" i="1"/>
  <c r="AJ10" i="1"/>
  <c r="AK10" i="1"/>
  <c r="AL10" i="1"/>
  <c r="AM10" i="1"/>
  <c r="AN10" i="1"/>
  <c r="AO10" i="1"/>
  <c r="AP10" i="1"/>
  <c r="AQ10" i="1"/>
  <c r="AR10" i="1"/>
  <c r="AS11" i="1"/>
  <c r="G3" i="1"/>
  <c r="G7" i="3"/>
  <c r="G9" i="5"/>
  <c r="T9" i="3" s="1"/>
  <c r="F9" i="5"/>
  <c r="T8" i="3" s="1"/>
  <c r="D23" i="4"/>
  <c r="P8" i="3" s="1"/>
  <c r="C23" i="4"/>
  <c r="O8" i="3" s="1"/>
  <c r="D19" i="4"/>
  <c r="P7" i="3" s="1"/>
  <c r="C19" i="4"/>
  <c r="O7" i="3" s="1"/>
  <c r="B8" i="2"/>
  <c r="L8" i="3" s="1"/>
  <c r="M8" i="3" s="1"/>
  <c r="B7" i="2"/>
  <c r="L7" i="3" s="1"/>
  <c r="M7" i="3" s="1"/>
  <c r="D58" i="1"/>
  <c r="H9" i="3" s="1"/>
  <c r="C58" i="1"/>
  <c r="G9" i="3" s="1"/>
  <c r="AJ57" i="1"/>
  <c r="AI57" i="1"/>
  <c r="AH57" i="1"/>
  <c r="AG57" i="1"/>
  <c r="AF56" i="1"/>
  <c r="AE56" i="1"/>
  <c r="AD55" i="1"/>
  <c r="AC55" i="1"/>
  <c r="AB55" i="1"/>
  <c r="AA55" i="1"/>
  <c r="Z55" i="1"/>
  <c r="Y55" i="1"/>
  <c r="X54" i="1"/>
  <c r="W54" i="1"/>
  <c r="V53" i="1"/>
  <c r="U53" i="1"/>
  <c r="T53" i="1"/>
  <c r="S53" i="1"/>
  <c r="R53" i="1"/>
  <c r="Q53" i="1"/>
  <c r="P52" i="1"/>
  <c r="O52" i="1"/>
  <c r="N52" i="1"/>
  <c r="M52" i="1"/>
  <c r="L52" i="1"/>
  <c r="K51" i="1"/>
  <c r="J51" i="1"/>
  <c r="I51" i="1"/>
  <c r="H51" i="1"/>
  <c r="G51" i="1"/>
  <c r="D49" i="1"/>
  <c r="H8" i="3" s="1"/>
  <c r="C49" i="1"/>
  <c r="G8" i="3" s="1"/>
  <c r="H38" i="1"/>
  <c r="G38" i="1"/>
  <c r="E9" i="5"/>
  <c r="T7" i="3" s="1"/>
  <c r="D9" i="5"/>
  <c r="T6" i="3" s="1"/>
  <c r="C9" i="5"/>
  <c r="T5" i="3" s="1"/>
  <c r="B9" i="5"/>
  <c r="T4" i="3" s="1"/>
  <c r="AU35" i="1"/>
  <c r="AT35" i="1"/>
  <c r="AR34" i="1"/>
  <c r="AQ34" i="1"/>
  <c r="AN33" i="1"/>
  <c r="AM33" i="1"/>
  <c r="AL33" i="1"/>
  <c r="AK33" i="1"/>
  <c r="AJ32" i="1"/>
  <c r="AI32" i="1"/>
  <c r="AH32" i="1"/>
  <c r="AG32" i="1"/>
  <c r="AF32" i="1"/>
  <c r="AE32" i="1"/>
  <c r="AC31" i="1"/>
  <c r="AB31" i="1"/>
  <c r="AA31" i="1"/>
  <c r="Y29" i="1"/>
  <c r="X29" i="1"/>
  <c r="W29" i="1"/>
  <c r="V29" i="1"/>
  <c r="W28" i="1"/>
  <c r="V28" i="1"/>
  <c r="S27" i="1"/>
  <c r="R27" i="1"/>
  <c r="Q27" i="1"/>
  <c r="P27" i="1"/>
  <c r="O27" i="1"/>
  <c r="N27" i="1"/>
  <c r="M26" i="1"/>
  <c r="L26" i="1"/>
  <c r="K26" i="1"/>
  <c r="J25" i="1"/>
  <c r="I25" i="1"/>
  <c r="H25" i="1"/>
  <c r="G25" i="1"/>
  <c r="AE9" i="1"/>
  <c r="AD9" i="1"/>
  <c r="AC9" i="1"/>
  <c r="AB9" i="1"/>
  <c r="AA8" i="1"/>
  <c r="Z8" i="1"/>
  <c r="Y8" i="1"/>
  <c r="X7" i="1"/>
  <c r="W7" i="1"/>
  <c r="V7" i="1"/>
  <c r="U6" i="1"/>
  <c r="K4" i="1"/>
  <c r="H3" i="1"/>
  <c r="H2" i="1"/>
  <c r="I2" i="1" s="1"/>
  <c r="J2" i="1" s="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AQ2" i="1" s="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Q7" i="3" l="1"/>
  <c r="U8" i="3"/>
  <c r="U7" i="3"/>
  <c r="Q8" i="3"/>
  <c r="C8" i="3"/>
  <c r="D8" i="3"/>
  <c r="I8" i="3"/>
  <c r="U5" i="3"/>
  <c r="U6" i="3"/>
  <c r="T10" i="3"/>
  <c r="U4" i="3"/>
  <c r="D27" i="4"/>
  <c r="P9" i="3" s="1"/>
  <c r="D15" i="4"/>
  <c r="P6" i="3" s="1"/>
  <c r="D9" i="4"/>
  <c r="P5" i="3" s="1"/>
  <c r="D5" i="4"/>
  <c r="P4" i="3" s="1"/>
  <c r="C27" i="4"/>
  <c r="O9" i="3" s="1"/>
  <c r="C15" i="4"/>
  <c r="O6" i="3" s="1"/>
  <c r="C9" i="4"/>
  <c r="O5" i="3" s="1"/>
  <c r="C5" i="4"/>
  <c r="O4" i="3" s="1"/>
  <c r="E8" i="3" l="1"/>
  <c r="S10" i="3"/>
  <c r="U9" i="3"/>
  <c r="U10" i="3" s="1"/>
  <c r="Q5" i="3"/>
  <c r="D28" i="4"/>
  <c r="C28" i="4"/>
  <c r="Q4" i="3"/>
  <c r="O10" i="3"/>
  <c r="Q6" i="3"/>
  <c r="Q9" i="3"/>
  <c r="P10" i="3"/>
  <c r="K10" i="3"/>
  <c r="K10" i="2"/>
  <c r="B9" i="2"/>
  <c r="L9" i="3" s="1"/>
  <c r="M9" i="3" s="1"/>
  <c r="B6" i="2"/>
  <c r="L6" i="3" s="1"/>
  <c r="M6" i="3" s="1"/>
  <c r="B5" i="2"/>
  <c r="L5" i="3" s="1"/>
  <c r="M5" i="3" s="1"/>
  <c r="B4" i="2"/>
  <c r="L4" i="3" s="1"/>
  <c r="F10" i="2"/>
  <c r="E10" i="2"/>
  <c r="D10" i="2"/>
  <c r="C10" i="2"/>
  <c r="L10" i="2"/>
  <c r="J10" i="2"/>
  <c r="I10" i="2"/>
  <c r="H10" i="2"/>
  <c r="G10" i="2"/>
  <c r="Q10" i="3" l="1"/>
  <c r="M4" i="3"/>
  <c r="M10" i="3" s="1"/>
  <c r="L10" i="3"/>
  <c r="B10" i="2"/>
  <c r="D36" i="1" l="1"/>
  <c r="C36" i="1"/>
  <c r="D23" i="1"/>
  <c r="H6" i="3" s="1"/>
  <c r="D6" i="3" s="1"/>
  <c r="C23" i="1"/>
  <c r="D18" i="1"/>
  <c r="H5" i="3" s="1"/>
  <c r="D5" i="3" s="1"/>
  <c r="C18" i="1"/>
  <c r="G5" i="3" s="1"/>
  <c r="C5" i="3" s="1"/>
  <c r="D12" i="1"/>
  <c r="C12" i="1"/>
  <c r="G4" i="3" s="1"/>
  <c r="C4" i="3" s="1"/>
  <c r="C9" i="3" l="1"/>
  <c r="D9" i="3"/>
  <c r="E9" i="3" s="1"/>
  <c r="H7" i="3"/>
  <c r="D7" i="3" s="1"/>
  <c r="C59" i="1"/>
  <c r="C60" i="1" s="1"/>
  <c r="G6" i="3"/>
  <c r="C6" i="3" s="1"/>
  <c r="D59" i="1"/>
  <c r="D60" i="1" s="1"/>
  <c r="H4" i="3"/>
  <c r="D4" i="3" s="1"/>
  <c r="I5" i="3"/>
  <c r="E5" i="3"/>
  <c r="I9" i="3"/>
  <c r="C7" i="3" l="1"/>
  <c r="E7" i="3" s="1"/>
  <c r="I7" i="3"/>
  <c r="I6" i="3"/>
  <c r="I4" i="3"/>
  <c r="E6" i="3"/>
  <c r="C10" i="3"/>
  <c r="D10" i="3"/>
  <c r="H10" i="3"/>
  <c r="G10" i="3"/>
  <c r="I10" i="3" l="1"/>
  <c r="E4" i="3"/>
  <c r="E10" i="3" s="1"/>
</calcChain>
</file>

<file path=xl/sharedStrings.xml><?xml version="1.0" encoding="utf-8"?>
<sst xmlns="http://schemas.openxmlformats.org/spreadsheetml/2006/main" count="314" uniqueCount="149">
  <si>
    <t>Total</t>
  </si>
  <si>
    <t>Coding</t>
  </si>
  <si>
    <t>Meetings</t>
  </si>
  <si>
    <t>Systems Analysis</t>
  </si>
  <si>
    <t>Overhead</t>
  </si>
  <si>
    <t>Budgeted</t>
  </si>
  <si>
    <t>Actual</t>
  </si>
  <si>
    <t>Deficit</t>
  </si>
  <si>
    <t>Anne</t>
  </si>
  <si>
    <t>Bill</t>
  </si>
  <si>
    <t>Chris</t>
  </si>
  <si>
    <t>Dan</t>
  </si>
  <si>
    <t>Eric</t>
  </si>
  <si>
    <t>Fran</t>
  </si>
  <si>
    <t>S.N.</t>
  </si>
  <si>
    <t>predicted time(hrs)</t>
  </si>
  <si>
    <t>time spent(hrs)</t>
  </si>
  <si>
    <t>Precedent</t>
  </si>
  <si>
    <t>Status</t>
  </si>
  <si>
    <t>key</t>
  </si>
  <si>
    <t>complete</t>
  </si>
  <si>
    <t>this week</t>
  </si>
  <si>
    <t>planned</t>
  </si>
  <si>
    <t>Aiden</t>
  </si>
  <si>
    <t>Player Idle Sprites</t>
  </si>
  <si>
    <t>N/A</t>
  </si>
  <si>
    <t>Player Movement Sprites</t>
  </si>
  <si>
    <t>Player Combat Sprites</t>
  </si>
  <si>
    <t>Health Pickups</t>
  </si>
  <si>
    <t>Weapons</t>
  </si>
  <si>
    <t>Enemy Movement Sprites</t>
  </si>
  <si>
    <t>Enemy Combat Sprites</t>
  </si>
  <si>
    <t>Boss Sprites</t>
  </si>
  <si>
    <t>Boss Combat Sprites</t>
  </si>
  <si>
    <t>totals</t>
  </si>
  <si>
    <t>Ro</t>
  </si>
  <si>
    <t>Jaskaran</t>
  </si>
  <si>
    <t xml:space="preserve">Safal </t>
  </si>
  <si>
    <t>Player development</t>
  </si>
  <si>
    <t>Actions(Player)</t>
  </si>
  <si>
    <t>Game Mechanics(logic and development)</t>
  </si>
  <si>
    <t>Attack Enemy</t>
  </si>
  <si>
    <t>logic for game win/loose</t>
  </si>
  <si>
    <t>2, 3</t>
  </si>
  <si>
    <t>logic for player and enemy reposne</t>
  </si>
  <si>
    <t>3, 4</t>
  </si>
  <si>
    <t>Pick up weapon</t>
  </si>
  <si>
    <t>Activates special power</t>
  </si>
  <si>
    <t>Testing and debugging</t>
  </si>
  <si>
    <t>Documentation</t>
  </si>
  <si>
    <t>Integrate With Other Components</t>
  </si>
  <si>
    <t>Syed</t>
  </si>
  <si>
    <t>Enemy Placement</t>
  </si>
  <si>
    <t xml:space="preserve">Enemy Movement </t>
  </si>
  <si>
    <t>Enemy Attack Pattern</t>
  </si>
  <si>
    <t>Enemy Design</t>
  </si>
  <si>
    <t>Boss Enemy Placement</t>
  </si>
  <si>
    <t>Boss Enemy Movement</t>
  </si>
  <si>
    <t>Boss Enemy Attack Pattern</t>
  </si>
  <si>
    <t>Boss Enemy and Level Design</t>
  </si>
  <si>
    <t>Testing and Debugging</t>
  </si>
  <si>
    <t>Demo Mode</t>
  </si>
  <si>
    <t>Gurneet</t>
  </si>
  <si>
    <t>Collect Assets</t>
  </si>
  <si>
    <t>Set Background Music</t>
  </si>
  <si>
    <t>Build Mixer</t>
  </si>
  <si>
    <t>Integrate with events</t>
  </si>
  <si>
    <t>Final Mix &amp;Adjustments</t>
  </si>
  <si>
    <t>Debug &amp; Documentation</t>
  </si>
  <si>
    <t>group totals (hrs)</t>
  </si>
  <si>
    <t>group totals ($)</t>
  </si>
  <si>
    <t>TL 1 Deliverables</t>
  </si>
  <si>
    <t>TL 2 Deliverables</t>
  </si>
  <si>
    <t>TL 3 Deliverables</t>
  </si>
  <si>
    <t>TL 4 Deliverables</t>
  </si>
  <si>
    <t>TL 5 Deliverables</t>
  </si>
  <si>
    <t>TL 6 Deliverables</t>
  </si>
  <si>
    <t>Date Due: 09/30</t>
  </si>
  <si>
    <t>Date Due: 10/09</t>
  </si>
  <si>
    <t>Date Due: 10/14</t>
  </si>
  <si>
    <t>Date Due: 10/28 &amp; 10/30</t>
  </si>
  <si>
    <t>Date Due: 11/06</t>
  </si>
  <si>
    <t>Date Due: 11/13</t>
  </si>
  <si>
    <t>By Monday :
Initial Readme File in GIT</t>
  </si>
  <si>
    <t xml:space="preserve"> 		</t>
  </si>
  <si>
    <t>By Monday 10/27:</t>
  </si>
  <si>
    <t>1. Fully update your sections of the Gantt chart</t>
  </si>
  <si>
    <t>1: Update the gantt for what you have worked on.</t>
  </si>
  <si>
    <t> </t>
  </si>
  <si>
    <t>2: Send me an update on what you have been working on this week.</t>
  </si>
  <si>
    <t>By Wednesday 10/29:</t>
  </si>
  <si>
    <t>1. Look over the coding standards in the GIT</t>
  </si>
  <si>
    <t>2. Try to update your code to comply with the coding standards (to the best of your ability, BC is not expecting it to be perfect). Message me when you're done and I'll check you off.</t>
  </si>
  <si>
    <t>Get deliverables to TL by 6pm on Date Due</t>
  </si>
  <si>
    <t>Deliverable Tracker</t>
  </si>
  <si>
    <t>Safal</t>
  </si>
  <si>
    <t>TL 1</t>
  </si>
  <si>
    <t>TL 2</t>
  </si>
  <si>
    <t>ü</t>
  </si>
  <si>
    <t xml:space="preserve">TL 3 </t>
  </si>
  <si>
    <t>TL 4</t>
  </si>
  <si>
    <t>TL 5</t>
  </si>
  <si>
    <t>TL 6</t>
  </si>
  <si>
    <t>Date</t>
  </si>
  <si>
    <t>Aug. 30</t>
  </si>
  <si>
    <t>Sept. 1</t>
  </si>
  <si>
    <t>Sept. 13</t>
  </si>
  <si>
    <t>Sept. 15</t>
  </si>
  <si>
    <t>Sept. 21</t>
  </si>
  <si>
    <t>Sept. 22</t>
  </si>
  <si>
    <t>Sept. 23</t>
  </si>
  <si>
    <t>Sept. 29</t>
  </si>
  <si>
    <t>Oct. 4</t>
  </si>
  <si>
    <t>Oct. 20</t>
  </si>
  <si>
    <t>Purpose</t>
  </si>
  <si>
    <t>First Meeting</t>
  </si>
  <si>
    <t>Ananlysis Planning</t>
  </si>
  <si>
    <t>Ananlysis Integration</t>
  </si>
  <si>
    <t>Ananlysis presentation practice</t>
  </si>
  <si>
    <t>Initial Set-up</t>
  </si>
  <si>
    <t>Initial Release</t>
  </si>
  <si>
    <t>Team Lead 2 demo practice</t>
  </si>
  <si>
    <t>Test Code Integrateion</t>
  </si>
  <si>
    <t>Hours</t>
  </si>
  <si>
    <t>Task</t>
  </si>
  <si>
    <t>Predicted(hrs)</t>
  </si>
  <si>
    <t>spent(hrs)</t>
  </si>
  <si>
    <t>Individual schedule</t>
  </si>
  <si>
    <t>Champion</t>
  </si>
  <si>
    <t>Chapter 1 and 2, glossary Terms</t>
  </si>
  <si>
    <t>Subtotal</t>
  </si>
  <si>
    <t>Chapter 3 and 4, glossary Terms</t>
  </si>
  <si>
    <t>Merge schedules on google docs</t>
  </si>
  <si>
    <t>A</t>
  </si>
  <si>
    <t xml:space="preserve">Standardize formating </t>
  </si>
  <si>
    <t>B</t>
  </si>
  <si>
    <t>Assemble SA Powerpoint</t>
  </si>
  <si>
    <t>C</t>
  </si>
  <si>
    <t>Chapter 5 and 6, glossary Terms</t>
  </si>
  <si>
    <t>Edit Chatpers 1-3</t>
  </si>
  <si>
    <t>Edit Chatpers 4-6</t>
  </si>
  <si>
    <t>red is dependent on others</t>
  </si>
  <si>
    <t xml:space="preserve">Bill </t>
  </si>
  <si>
    <t>Training</t>
  </si>
  <si>
    <t>SA Preesentation Prep</t>
  </si>
  <si>
    <t>Software Specialist Presnetaion Prep</t>
  </si>
  <si>
    <t>Team Lead Presentation Prep</t>
  </si>
  <si>
    <t>Oral Exam Prep</t>
  </si>
  <si>
    <t>Post Mortum Presentation 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</si>
</sst>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Red]&quot;$&quot;#,##0.00"/>
  </numFmts>
  <fonts count="13" x14ac:knownFonts="1">
    <font>
      <sz val="11"/>
      <color theme="1"/>
      <name val="Calibri"/>
      <family val="2"/>
      <scheme val="minor"/>
    </font>
    <font>
      <sz val="11"/>
      <name val="Calibri"/>
      <family val="2"/>
      <scheme val="minor"/>
    </font>
    <font>
      <sz val="11"/>
      <color theme="1"/>
      <name val="Wingdings"/>
      <charset val="2"/>
    </font>
    <font>
      <sz val="11"/>
      <color rgb="FFFF0000"/>
      <name val="Calibri"/>
      <family val="2"/>
      <scheme val="minor"/>
    </font>
    <font>
      <sz val="11"/>
      <color theme="0"/>
      <name val="Calibri"/>
      <family val="2"/>
      <scheme val="minor"/>
    </font>
    <font>
      <sz val="11"/>
      <color theme="1"/>
      <name val="Calibri"/>
      <family val="2"/>
      <scheme val="minor"/>
    </font>
    <font>
      <sz val="11"/>
      <color rgb="FF3F3F76"/>
      <name val="Calibri"/>
      <family val="2"/>
      <scheme val="minor"/>
    </font>
    <font>
      <sz val="11"/>
      <color rgb="FF000000"/>
      <name val="Calibri"/>
      <family val="2"/>
    </font>
    <font>
      <b/>
      <sz val="11"/>
      <color rgb="FF000000"/>
      <name val="Calibri"/>
      <family val="2"/>
    </font>
    <font>
      <sz val="11"/>
      <color rgb="FF000000"/>
      <name val="Calibri"/>
    </font>
    <font>
      <sz val="11"/>
      <color rgb="FF000000"/>
      <name val="Wingdings"/>
      <charset val="2"/>
    </font>
    <font>
      <sz val="12"/>
      <color theme="1"/>
      <name val="Candara"/>
      <family val="2"/>
    </font>
    <font>
      <sz val="11"/>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C000"/>
        <bgColor indexed="64"/>
      </patternFill>
    </fill>
    <fill>
      <patternFill patternType="solid">
        <fgColor theme="7"/>
        <bgColor indexed="64"/>
      </patternFill>
    </fill>
    <fill>
      <patternFill patternType="solid">
        <fgColor rgb="FFFFCC99"/>
      </patternFill>
    </fill>
    <fill>
      <patternFill patternType="solid">
        <fgColor rgb="FFFFC000"/>
        <bgColor rgb="FF000000"/>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6" fillId="8" borderId="12" applyNumberFormat="0" applyAlignment="0" applyProtection="0"/>
  </cellStyleXfs>
  <cellXfs count="98">
    <xf numFmtId="0" fontId="0" fillId="0" borderId="0" xfId="0"/>
    <xf numFmtId="0" fontId="1" fillId="4" borderId="0" xfId="0" applyFont="1" applyFill="1"/>
    <xf numFmtId="0" fontId="0" fillId="4" borderId="0" xfId="0" applyFill="1"/>
    <xf numFmtId="0" fontId="0" fillId="5" borderId="0" xfId="0" applyFill="1"/>
    <xf numFmtId="0" fontId="2" fillId="0" borderId="0" xfId="0" applyFont="1"/>
    <xf numFmtId="0" fontId="0" fillId="6" borderId="0" xfId="0" applyFill="1"/>
    <xf numFmtId="0" fontId="0" fillId="6" borderId="0" xfId="0" applyFill="1" applyAlignment="1">
      <alignment wrapText="1"/>
    </xf>
    <xf numFmtId="0" fontId="0" fillId="0" borderId="0" xfId="0" applyAlignment="1">
      <alignment horizontal="center"/>
    </xf>
    <xf numFmtId="0" fontId="0" fillId="6" borderId="4" xfId="0" applyFill="1" applyBorder="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8" fontId="0" fillId="0" borderId="4" xfId="0" applyNumberFormat="1" applyBorder="1"/>
    <xf numFmtId="8" fontId="0" fillId="0" borderId="0" xfId="0" applyNumberFormat="1"/>
    <xf numFmtId="8" fontId="0" fillId="0" borderId="5" xfId="0" applyNumberFormat="1" applyBorder="1"/>
    <xf numFmtId="8" fontId="0" fillId="6" borderId="9" xfId="0" applyNumberFormat="1" applyFill="1" applyBorder="1"/>
    <xf numFmtId="8" fontId="0" fillId="6" borderId="10" xfId="0" applyNumberFormat="1" applyFill="1" applyBorder="1"/>
    <xf numFmtId="8" fontId="0" fillId="6" borderId="11" xfId="0" applyNumberFormat="1" applyFill="1" applyBorder="1"/>
    <xf numFmtId="8" fontId="0" fillId="0" borderId="1" xfId="0" applyNumberFormat="1" applyBorder="1"/>
    <xf numFmtId="8" fontId="0" fillId="0" borderId="2" xfId="0" applyNumberFormat="1" applyBorder="1"/>
    <xf numFmtId="8" fontId="0" fillId="0" borderId="3" xfId="0" applyNumberFormat="1" applyBorder="1"/>
    <xf numFmtId="0" fontId="0" fillId="6" borderId="1" xfId="0" applyFill="1" applyBorder="1"/>
    <xf numFmtId="8" fontId="0" fillId="6" borderId="6" xfId="0" applyNumberFormat="1" applyFill="1" applyBorder="1"/>
    <xf numFmtId="8" fontId="0" fillId="6" borderId="7" xfId="0" applyNumberFormat="1" applyFill="1" applyBorder="1"/>
    <xf numFmtId="8" fontId="0" fillId="6" borderId="8" xfId="0" applyNumberFormat="1" applyFill="1" applyBorder="1"/>
    <xf numFmtId="8" fontId="0" fillId="0" borderId="8" xfId="0" applyNumberFormat="1" applyBorder="1"/>
    <xf numFmtId="0" fontId="3" fillId="0" borderId="0" xfId="0" applyFont="1"/>
    <xf numFmtId="0" fontId="0" fillId="0" borderId="1" xfId="0" applyBorder="1"/>
    <xf numFmtId="0" fontId="0" fillId="7" borderId="2" xfId="0" applyFill="1" applyBorder="1"/>
    <xf numFmtId="0" fontId="0" fillId="7" borderId="3" xfId="0" applyFill="1" applyBorder="1"/>
    <xf numFmtId="0" fontId="0" fillId="7" borderId="4" xfId="0" applyFill="1" applyBorder="1"/>
    <xf numFmtId="0" fontId="0" fillId="7" borderId="0" xfId="0" applyFill="1"/>
    <xf numFmtId="0" fontId="0" fillId="0" borderId="5" xfId="0" applyBorder="1"/>
    <xf numFmtId="0" fontId="0" fillId="0" borderId="4" xfId="0" applyBorder="1"/>
    <xf numFmtId="0" fontId="0" fillId="7" borderId="5" xfId="0" applyFill="1" applyBorder="1"/>
    <xf numFmtId="0" fontId="3" fillId="7" borderId="0" xfId="0" applyFont="1" applyFill="1"/>
    <xf numFmtId="0" fontId="1" fillId="7" borderId="0" xfId="0" applyFont="1" applyFill="1"/>
    <xf numFmtId="0" fontId="0" fillId="0" borderId="6" xfId="0" applyBorder="1"/>
    <xf numFmtId="0" fontId="1" fillId="7" borderId="7" xfId="0" applyFont="1" applyFill="1" applyBorder="1"/>
    <xf numFmtId="0" fontId="0" fillId="7" borderId="7" xfId="0" applyFill="1" applyBorder="1"/>
    <xf numFmtId="0" fontId="0" fillId="7" borderId="8" xfId="0" applyFill="1" applyBorder="1"/>
    <xf numFmtId="8" fontId="0" fillId="0" borderId="6" xfId="0" applyNumberFormat="1" applyBorder="1"/>
    <xf numFmtId="8" fontId="0" fillId="0" borderId="7" xfId="0" applyNumberFormat="1" applyBorder="1"/>
    <xf numFmtId="0" fontId="4" fillId="5" borderId="0" xfId="0" applyFont="1" applyFill="1"/>
    <xf numFmtId="0" fontId="6" fillId="8" borderId="12" xfId="1"/>
    <xf numFmtId="0" fontId="4" fillId="5" borderId="12" xfId="1" applyFont="1" applyFill="1"/>
    <xf numFmtId="0" fontId="4" fillId="3" borderId="12" xfId="1" applyFont="1" applyFill="1"/>
    <xf numFmtId="0" fontId="5" fillId="2" borderId="12" xfId="1" applyFont="1" applyFill="1"/>
    <xf numFmtId="0" fontId="4" fillId="5" borderId="0" xfId="0" applyFont="1" applyFill="1" applyAlignment="1">
      <alignment horizontal="left"/>
    </xf>
    <xf numFmtId="164" fontId="0" fillId="6" borderId="0" xfId="0" applyNumberFormat="1" applyFill="1"/>
    <xf numFmtId="0" fontId="7" fillId="0" borderId="0" xfId="0" applyFont="1"/>
    <xf numFmtId="0" fontId="8" fillId="0" borderId="0" xfId="0" applyFont="1"/>
    <xf numFmtId="0" fontId="7" fillId="9" borderId="25" xfId="0" applyFont="1" applyFill="1" applyBorder="1" applyAlignment="1">
      <alignment wrapText="1"/>
    </xf>
    <xf numFmtId="0" fontId="7" fillId="9" borderId="20" xfId="0" applyFont="1" applyFill="1" applyBorder="1" applyAlignment="1">
      <alignment wrapText="1"/>
    </xf>
    <xf numFmtId="0" fontId="7" fillId="9" borderId="26" xfId="0" applyFont="1" applyFill="1" applyBorder="1"/>
    <xf numFmtId="0" fontId="7" fillId="9" borderId="24" xfId="0" applyFont="1" applyFill="1" applyBorder="1"/>
    <xf numFmtId="0" fontId="7" fillId="9" borderId="13" xfId="0" applyFont="1" applyFill="1" applyBorder="1"/>
    <xf numFmtId="0" fontId="10" fillId="0" borderId="24" xfId="0" applyFont="1" applyBorder="1"/>
    <xf numFmtId="0" fontId="11" fillId="0" borderId="0" xfId="0" applyFont="1"/>
    <xf numFmtId="0" fontId="11" fillId="0" borderId="0" xfId="0" applyFont="1" applyAlignment="1">
      <alignment horizontal="right"/>
    </xf>
    <xf numFmtId="0" fontId="12" fillId="5" borderId="0" xfId="0" applyFont="1" applyFill="1"/>
    <xf numFmtId="0" fontId="0" fillId="2" borderId="0" xfId="0" applyFill="1"/>
    <xf numFmtId="0" fontId="0" fillId="6" borderId="1"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7" fillId="0" borderId="0" xfId="0" applyFont="1" applyAlignment="1">
      <alignment wrapText="1"/>
    </xf>
    <xf numFmtId="0" fontId="7" fillId="0" borderId="21" xfId="0" applyFont="1" applyBorder="1" applyAlignment="1">
      <alignment wrapText="1"/>
    </xf>
    <xf numFmtId="0" fontId="9" fillId="0" borderId="0" xfId="0" applyFont="1" applyAlignment="1">
      <alignment wrapText="1"/>
    </xf>
    <xf numFmtId="0" fontId="9" fillId="0" borderId="21" xfId="0" applyFont="1" applyBorder="1" applyAlignment="1">
      <alignment wrapText="1"/>
    </xf>
    <xf numFmtId="0" fontId="7" fillId="0" borderId="15" xfId="0" applyFont="1" applyBorder="1"/>
    <xf numFmtId="0" fontId="7" fillId="0" borderId="16" xfId="0" applyFont="1" applyBorder="1"/>
    <xf numFmtId="0" fontId="8" fillId="9" borderId="14" xfId="0" applyFont="1" applyFill="1" applyBorder="1"/>
    <xf numFmtId="0" fontId="8" fillId="9" borderId="15" xfId="0" applyFont="1" applyFill="1" applyBorder="1"/>
    <xf numFmtId="0" fontId="8" fillId="9" borderId="16" xfId="0" applyFont="1" applyFill="1" applyBorder="1"/>
    <xf numFmtId="0" fontId="7" fillId="0" borderId="14" xfId="0" applyFont="1" applyBorder="1"/>
    <xf numFmtId="0" fontId="7" fillId="0" borderId="18" xfId="0" applyFont="1" applyBorder="1"/>
    <xf numFmtId="0" fontId="8" fillId="0" borderId="0" xfId="0" applyFont="1"/>
    <xf numFmtId="0" fontId="7" fillId="0" borderId="23" xfId="0" applyFont="1" applyBorder="1" applyAlignment="1">
      <alignment wrapText="1"/>
    </xf>
    <xf numFmtId="0" fontId="7" fillId="0" borderId="24" xfId="0" applyFont="1" applyBorder="1" applyAlignment="1">
      <alignment wrapText="1"/>
    </xf>
    <xf numFmtId="0" fontId="9" fillId="0" borderId="23" xfId="0" applyFont="1" applyBorder="1" applyAlignment="1">
      <alignment wrapText="1"/>
    </xf>
    <xf numFmtId="0" fontId="9" fillId="0" borderId="24" xfId="0" applyFont="1" applyBorder="1" applyAlignment="1">
      <alignment wrapText="1"/>
    </xf>
    <xf numFmtId="0" fontId="7" fillId="0" borderId="19" xfId="0" applyFont="1" applyBorder="1" applyAlignment="1">
      <alignment wrapText="1"/>
    </xf>
    <xf numFmtId="0" fontId="7" fillId="0" borderId="18" xfId="0" applyFont="1" applyBorder="1" applyAlignment="1">
      <alignment wrapText="1"/>
    </xf>
    <xf numFmtId="0" fontId="7" fillId="0" borderId="20" xfId="0" applyFont="1" applyBorder="1" applyAlignment="1">
      <alignment wrapText="1"/>
    </xf>
    <xf numFmtId="0" fontId="7" fillId="0" borderId="17" xfId="0" applyFont="1" applyBorder="1" applyAlignment="1">
      <alignment wrapText="1"/>
    </xf>
    <xf numFmtId="0" fontId="7" fillId="0" borderId="22" xfId="0" applyFont="1" applyBorder="1" applyAlignment="1">
      <alignment wrapText="1"/>
    </xf>
    <xf numFmtId="0" fontId="9" fillId="0" borderId="18" xfId="0" applyFont="1" applyBorder="1" applyAlignment="1">
      <alignment wrapText="1"/>
    </xf>
    <xf numFmtId="0" fontId="9" fillId="0" borderId="20" xfId="0" applyFont="1" applyBorder="1" applyAlignment="1">
      <alignment wrapText="1"/>
    </xf>
    <xf numFmtId="0" fontId="7" fillId="0" borderId="19" xfId="0" applyFont="1" applyBorder="1"/>
    <xf numFmtId="0" fontId="7" fillId="0" borderId="20" xfId="0" applyFont="1" applyBorder="1"/>
    <xf numFmtId="0" fontId="7" fillId="0" borderId="17" xfId="0" applyFont="1" applyBorder="1"/>
    <xf numFmtId="0" fontId="7" fillId="0" borderId="0" xfId="0" applyFont="1"/>
    <xf numFmtId="0" fontId="7" fillId="0" borderId="21" xfId="0" applyFont="1" applyBorder="1"/>
    <xf numFmtId="0" fontId="7" fillId="0" borderId="22" xfId="0" applyFont="1" applyBorder="1"/>
    <xf numFmtId="0" fontId="7" fillId="0" borderId="23" xfId="0" applyFont="1" applyBorder="1"/>
    <xf numFmtId="0" fontId="7" fillId="0" borderId="24" xfId="0" applyFont="1" applyBorder="1"/>
  </cellXfs>
  <cellStyles count="2">
    <cellStyle name="Input" xfId="1" builtinId="20"/>
    <cellStyle name="Normal" xfId="0" builtinId="0"/>
  </cellStyles>
  <dxfs count="69">
    <dxf>
      <font>
        <color auto="1"/>
      </font>
      <fill>
        <patternFill>
          <bgColor theme="1"/>
        </patternFill>
      </fill>
    </dxf>
    <dxf>
      <font>
        <color rgb="FFFFFF00"/>
      </font>
      <fill>
        <patternFill>
          <bgColor rgb="FFFFFF00"/>
        </patternFill>
      </fill>
    </dxf>
    <dxf>
      <font>
        <color rgb="FFFF0000"/>
      </font>
      <fill>
        <patternFill>
          <bgColor rgb="FFFF0000"/>
        </patternFill>
      </fill>
    </dxf>
    <dxf>
      <font>
        <color auto="1"/>
      </font>
      <fill>
        <patternFill>
          <bgColor theme="1"/>
        </patternFill>
      </fill>
    </dxf>
    <dxf>
      <font>
        <color rgb="FFFFFF00"/>
      </font>
      <fill>
        <patternFill>
          <bgColor rgb="FFFFFF00"/>
        </patternFill>
      </fill>
    </dxf>
    <dxf>
      <font>
        <color rgb="FFFF0000"/>
      </font>
      <fill>
        <patternFill>
          <bgColor rgb="FFFF00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rgb="FFFFFF00"/>
      </font>
      <fill>
        <patternFill>
          <bgColor rgb="FFFFFF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rgb="FFFF0000"/>
      </font>
      <fill>
        <patternFill>
          <bgColor rgb="FFFF00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rgb="FFFFFF00"/>
      </font>
      <fill>
        <patternFill>
          <bgColor rgb="FFFFFF00"/>
        </patternFill>
      </fill>
    </dxf>
    <dxf>
      <font>
        <color rgb="FFFF0000"/>
      </font>
      <fill>
        <patternFill>
          <bgColor rgb="FFFF0000"/>
        </patternFill>
      </fill>
    </dxf>
    <dxf>
      <font>
        <color auto="1"/>
      </font>
      <fill>
        <patternFill>
          <bgColor theme="1"/>
        </patternFill>
      </fill>
    </dxf>
    <dxf>
      <font>
        <color rgb="FFFFFF00"/>
      </font>
      <fill>
        <patternFill>
          <bgColor rgb="FFFFFF00"/>
        </patternFill>
      </fill>
    </dxf>
    <dxf>
      <font>
        <color rgb="FFFF0000"/>
      </font>
      <fill>
        <patternFill>
          <bgColor rgb="FFFF00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rgb="FFFFFF00"/>
      </font>
      <fill>
        <patternFill>
          <bgColor rgb="FFFFFF00"/>
        </patternFill>
      </fill>
    </dxf>
    <dxf>
      <font>
        <color auto="1"/>
      </font>
      <fill>
        <patternFill>
          <bgColor theme="1"/>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auto="1"/>
      </font>
      <fill>
        <patternFill>
          <bgColor theme="1"/>
        </patternFill>
      </fill>
    </dxf>
    <dxf>
      <font>
        <color auto="1"/>
      </font>
      <fill>
        <patternFill>
          <bgColor theme="1"/>
        </patternFill>
      </fill>
    </dxf>
    <dxf>
      <font>
        <color rgb="FFFFFF00"/>
      </font>
      <fill>
        <patternFill>
          <bgColor rgb="FFFFFF00"/>
        </patternFill>
      </fill>
    </dxf>
    <dxf>
      <font>
        <color rgb="FFFF0000"/>
      </font>
      <fill>
        <patternFill>
          <bgColor rgb="FFFF0000"/>
        </patternFill>
      </fill>
    </dxf>
    <dxf>
      <font>
        <color rgb="FFFF0000"/>
      </font>
      <fill>
        <patternFill>
          <bgColor rgb="FFFF0000"/>
        </patternFill>
      </fill>
    </dxf>
    <dxf>
      <font>
        <color rgb="FFFFFF00"/>
      </font>
      <fill>
        <patternFill>
          <bgColor rgb="FFFFFF00"/>
        </patternFill>
      </fill>
    </dxf>
    <dxf>
      <font>
        <color auto="1"/>
      </font>
      <fill>
        <patternFill>
          <bgColor theme="1"/>
        </patternFill>
      </fill>
    </dxf>
    <dxf>
      <font>
        <color theme="0"/>
      </font>
      <fill>
        <patternFill>
          <bgColor theme="1"/>
        </patternFill>
      </fill>
    </dxf>
    <dxf>
      <font>
        <color auto="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theme="1"/>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theme="1"/>
        </patternFill>
      </fill>
    </dxf>
    <dxf>
      <font>
        <color theme="0"/>
      </font>
      <fill>
        <patternFill>
          <bgColor rgb="FFFF0000"/>
        </patternFill>
      </fill>
    </dxf>
    <dxf>
      <font>
        <color auto="1"/>
      </font>
      <fill>
        <patternFill>
          <bgColor rgb="FFFFFF00"/>
        </patternFill>
      </fill>
    </dxf>
    <dxf>
      <font>
        <color theme="0"/>
      </font>
      <fill>
        <patternFill>
          <bgColor theme="1"/>
        </patternFill>
      </fill>
    </dxf>
    <dxf>
      <font>
        <color theme="0"/>
      </font>
      <fill>
        <patternFill>
          <bgColor rgb="FFFF0000"/>
        </patternFill>
      </fill>
    </dxf>
    <dxf>
      <font>
        <color auto="1"/>
      </font>
      <fill>
        <patternFill>
          <bgColor rgb="FFFFFF00"/>
        </patternFill>
      </fill>
    </dxf>
    <dxf>
      <font>
        <color theme="0"/>
      </font>
      <fill>
        <patternFill>
          <bgColor theme="1"/>
        </patternFill>
      </fill>
    </dxf>
    <dxf>
      <font>
        <color theme="0"/>
      </font>
      <fill>
        <patternFill>
          <bgColor rgb="FFFF0000"/>
        </patternFill>
      </fill>
    </dxf>
    <dxf>
      <font>
        <color auto="1"/>
      </font>
      <fill>
        <patternFill>
          <bgColor rgb="FFFFFF00"/>
        </patternFill>
      </fill>
    </dxf>
    <dxf>
      <font>
        <color theme="0"/>
      </font>
      <fill>
        <patternFill>
          <bgColor theme="1"/>
        </patternFill>
      </fill>
    </dxf>
    <dxf>
      <font>
        <color auto="1"/>
      </font>
      <fill>
        <patternFill>
          <bgColor theme="1"/>
        </patternFill>
      </fill>
    </dxf>
    <dxf>
      <font>
        <color rgb="FFFFFF00"/>
      </font>
      <fill>
        <patternFill>
          <bgColor rgb="FFFFFF00"/>
        </patternFill>
      </fill>
    </dxf>
    <dxf>
      <font>
        <color rgb="FFFF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10"/>
  <sheetViews>
    <sheetView topLeftCell="D1" workbookViewId="0">
      <selection activeCell="G8" sqref="G8"/>
    </sheetView>
  </sheetViews>
  <sheetFormatPr defaultRowHeight="14.5" x14ac:dyDescent="0.35"/>
  <cols>
    <col min="3" max="3" width="14.26953125" customWidth="1"/>
    <col min="4" max="4" width="13.81640625" customWidth="1"/>
    <col min="5" max="5" width="13.26953125" customWidth="1"/>
    <col min="6" max="6" width="3.453125" customWidth="1"/>
    <col min="7" max="7" width="15.26953125" customWidth="1"/>
    <col min="8" max="8" width="12.26953125" customWidth="1"/>
    <col min="9" max="9" width="14.54296875" customWidth="1"/>
    <col min="10" max="10" width="2.81640625" customWidth="1"/>
    <col min="11" max="11" width="13.81640625" customWidth="1"/>
    <col min="12" max="12" width="14" customWidth="1"/>
    <col min="13" max="13" width="14.1796875" customWidth="1"/>
    <col min="14" max="14" width="5.453125" customWidth="1"/>
    <col min="15" max="15" width="12.26953125" customWidth="1"/>
    <col min="16" max="16" width="14.7265625" customWidth="1"/>
    <col min="17" max="17" width="11.26953125" customWidth="1"/>
    <col min="18" max="18" width="5.1796875" customWidth="1"/>
    <col min="19" max="19" width="13.453125" customWidth="1"/>
    <col min="20" max="20" width="13.54296875" customWidth="1"/>
    <col min="21" max="21" width="16.453125" customWidth="1"/>
  </cols>
  <sheetData>
    <row r="1" spans="2:21" ht="15" thickBot="1" x14ac:dyDescent="0.4"/>
    <row r="2" spans="2:21" x14ac:dyDescent="0.35">
      <c r="C2" s="64" t="s">
        <v>0</v>
      </c>
      <c r="D2" s="65"/>
      <c r="E2" s="66"/>
      <c r="F2" s="7"/>
      <c r="G2" s="64" t="s">
        <v>1</v>
      </c>
      <c r="H2" s="65"/>
      <c r="I2" s="66"/>
      <c r="K2" s="64" t="s">
        <v>2</v>
      </c>
      <c r="L2" s="65"/>
      <c r="M2" s="66"/>
      <c r="O2" s="64" t="s">
        <v>3</v>
      </c>
      <c r="P2" s="65"/>
      <c r="Q2" s="66"/>
      <c r="S2" s="64" t="s">
        <v>4</v>
      </c>
      <c r="T2" s="65"/>
      <c r="U2" s="66"/>
    </row>
    <row r="3" spans="2:21" ht="15" thickBot="1" x14ac:dyDescent="0.4">
      <c r="C3" s="8" t="s">
        <v>5</v>
      </c>
      <c r="D3" s="5" t="s">
        <v>6</v>
      </c>
      <c r="E3" s="9" t="s">
        <v>7</v>
      </c>
      <c r="G3" s="10" t="s">
        <v>5</v>
      </c>
      <c r="H3" s="11" t="s">
        <v>6</v>
      </c>
      <c r="I3" s="12" t="s">
        <v>7</v>
      </c>
      <c r="K3" s="10" t="s">
        <v>5</v>
      </c>
      <c r="L3" s="11" t="s">
        <v>6</v>
      </c>
      <c r="M3" s="12" t="s">
        <v>7</v>
      </c>
      <c r="O3" s="8" t="s">
        <v>5</v>
      </c>
      <c r="P3" s="5" t="s">
        <v>6</v>
      </c>
      <c r="Q3" s="9" t="s">
        <v>7</v>
      </c>
      <c r="S3" s="8" t="s">
        <v>5</v>
      </c>
      <c r="T3" s="5" t="s">
        <v>6</v>
      </c>
      <c r="U3" s="9" t="s">
        <v>7</v>
      </c>
    </row>
    <row r="4" spans="2:21" x14ac:dyDescent="0.35">
      <c r="B4" s="23" t="s">
        <v>8</v>
      </c>
      <c r="C4" s="20">
        <f>(G4+K4 +O4+S4)</f>
        <v>10100</v>
      </c>
      <c r="D4" s="21">
        <f t="shared" ref="D4:D9" si="0">(H4+L4 +P4+T4)</f>
        <v>6800</v>
      </c>
      <c r="E4" s="22">
        <f>(C4-D4)</f>
        <v>3300</v>
      </c>
      <c r="G4" s="14">
        <f>(Gantt!$C12)*100</f>
        <v>5000</v>
      </c>
      <c r="H4" s="15">
        <f>(Gantt!$D12)*100</f>
        <v>800</v>
      </c>
      <c r="I4" s="16">
        <f>(G4-H4)</f>
        <v>4200</v>
      </c>
      <c r="K4" s="20">
        <v>1000</v>
      </c>
      <c r="L4" s="21">
        <f>Meetings!B4*100</f>
        <v>2100</v>
      </c>
      <c r="M4" s="22">
        <f>(K4-L4)</f>
        <v>-1100</v>
      </c>
      <c r="O4" s="20">
        <f>(SA!C5)*100</f>
        <v>1100</v>
      </c>
      <c r="P4" s="21">
        <f>(SA!D5)*100</f>
        <v>1300</v>
      </c>
      <c r="Q4" s="22">
        <f>(O4-P4)</f>
        <v>-200</v>
      </c>
      <c r="S4" s="20">
        <v>3000</v>
      </c>
      <c r="T4" s="21">
        <f>Overhead!B9*100</f>
        <v>2600</v>
      </c>
      <c r="U4" s="22">
        <f>(S4-T4)</f>
        <v>400</v>
      </c>
    </row>
    <row r="5" spans="2:21" x14ac:dyDescent="0.35">
      <c r="B5" s="8" t="s">
        <v>9</v>
      </c>
      <c r="C5" s="14">
        <f t="shared" ref="C5:C9" si="1">(G5+K5 +O5+S5)</f>
        <v>5100</v>
      </c>
      <c r="D5" s="15">
        <f t="shared" si="0"/>
        <v>4000</v>
      </c>
      <c r="E5" s="16">
        <f t="shared" ref="E5:E9" si="2">(C5-D5)</f>
        <v>1100</v>
      </c>
      <c r="G5" s="14">
        <f>(Gantt!$C18)*100</f>
        <v>0</v>
      </c>
      <c r="H5" s="15">
        <f>(Gantt!$D18)*100</f>
        <v>0</v>
      </c>
      <c r="I5" s="16">
        <f t="shared" ref="I5:I9" si="3">(G5-H5)</f>
        <v>0</v>
      </c>
      <c r="K5" s="14">
        <v>1000</v>
      </c>
      <c r="L5" s="15">
        <f>Meetings!B5*100</f>
        <v>900</v>
      </c>
      <c r="M5" s="16">
        <f t="shared" ref="M5:M9" si="4">(K5-L5)</f>
        <v>100</v>
      </c>
      <c r="O5" s="14">
        <f>(SA!C9)*100</f>
        <v>1100</v>
      </c>
      <c r="P5" s="15">
        <f>(SA!D9)*100</f>
        <v>1000</v>
      </c>
      <c r="Q5" s="16">
        <f t="shared" ref="Q5:Q9" si="5">(O5-P5)</f>
        <v>100</v>
      </c>
      <c r="S5" s="14">
        <v>3000</v>
      </c>
      <c r="T5" s="15">
        <f>Overhead!C9*100</f>
        <v>2100</v>
      </c>
      <c r="U5" s="16">
        <f t="shared" ref="U5:U9" si="6">(S5-T5)</f>
        <v>900</v>
      </c>
    </row>
    <row r="6" spans="2:21" x14ac:dyDescent="0.35">
      <c r="B6" s="8" t="s">
        <v>10</v>
      </c>
      <c r="C6" s="14">
        <f t="shared" si="1"/>
        <v>5100</v>
      </c>
      <c r="D6" s="15">
        <f t="shared" si="0"/>
        <v>6900</v>
      </c>
      <c r="E6" s="16">
        <f t="shared" si="2"/>
        <v>-1800</v>
      </c>
      <c r="G6" s="14">
        <f>(Gantt!$C23)*100</f>
        <v>0</v>
      </c>
      <c r="H6" s="15">
        <f>(Gantt!$D23)*100</f>
        <v>0</v>
      </c>
      <c r="I6" s="16">
        <f t="shared" si="3"/>
        <v>0</v>
      </c>
      <c r="K6" s="14">
        <v>1000</v>
      </c>
      <c r="L6" s="15">
        <f>Meetings!B6*100</f>
        <v>1100</v>
      </c>
      <c r="M6" s="16">
        <f t="shared" si="4"/>
        <v>-100</v>
      </c>
      <c r="O6" s="14">
        <f>(SA!C15)*100</f>
        <v>1100</v>
      </c>
      <c r="P6" s="15">
        <f>(SA!D15)*100</f>
        <v>1500</v>
      </c>
      <c r="Q6" s="16">
        <f t="shared" si="5"/>
        <v>-400</v>
      </c>
      <c r="S6" s="14">
        <v>3000</v>
      </c>
      <c r="T6" s="15">
        <f>Overhead!D9*100</f>
        <v>4300</v>
      </c>
      <c r="U6" s="16">
        <f t="shared" si="6"/>
        <v>-1300</v>
      </c>
    </row>
    <row r="7" spans="2:21" x14ac:dyDescent="0.35">
      <c r="B7" s="8" t="s">
        <v>11</v>
      </c>
      <c r="C7" s="14">
        <f t="shared" ref="C7:C8" si="7">(G7+K7 +O7+S7)</f>
        <v>5100</v>
      </c>
      <c r="D7" s="15">
        <f t="shared" ref="D7:D8" si="8">(H7+L7 +P7+T7)</f>
        <v>7900</v>
      </c>
      <c r="E7" s="16">
        <f t="shared" ref="E7:E8" si="9">(C7-D7)</f>
        <v>-2800</v>
      </c>
      <c r="G7" s="14">
        <f>(Gantt!$C480)*100</f>
        <v>0</v>
      </c>
      <c r="H7" s="15">
        <f>(Gantt!$D36)*100</f>
        <v>1800</v>
      </c>
      <c r="I7" s="16">
        <f t="shared" ref="I7:I8" si="10">(G7-H7)</f>
        <v>-1800</v>
      </c>
      <c r="K7" s="14">
        <v>1000</v>
      </c>
      <c r="L7" s="15">
        <f>Meetings!B7*100</f>
        <v>1500</v>
      </c>
      <c r="M7" s="16">
        <f t="shared" ref="M7:M8" si="11">(K7-L7)</f>
        <v>-500</v>
      </c>
      <c r="O7" s="14">
        <f>(SA!C19)*100</f>
        <v>1100</v>
      </c>
      <c r="P7" s="15">
        <f>(SA!D19)*100</f>
        <v>1100</v>
      </c>
      <c r="Q7" s="16">
        <f t="shared" ref="Q7:Q8" si="12">(O7-P7)</f>
        <v>0</v>
      </c>
      <c r="S7" s="14">
        <v>3000</v>
      </c>
      <c r="T7" s="15">
        <f>Overhead!E9*100</f>
        <v>3500</v>
      </c>
      <c r="U7" s="16">
        <f t="shared" ref="U7:U8" si="13">(S7-T7)</f>
        <v>-500</v>
      </c>
    </row>
    <row r="8" spans="2:21" x14ac:dyDescent="0.35">
      <c r="B8" s="8" t="s">
        <v>12</v>
      </c>
      <c r="C8" s="14">
        <f t="shared" si="7"/>
        <v>6400</v>
      </c>
      <c r="D8" s="15">
        <f t="shared" si="8"/>
        <v>5900</v>
      </c>
      <c r="E8" s="16">
        <f t="shared" si="9"/>
        <v>500</v>
      </c>
      <c r="G8" s="14">
        <f>(Gantt!$C49)*100</f>
        <v>1300</v>
      </c>
      <c r="H8" s="15">
        <f>(Gantt!$D49)*100</f>
        <v>600</v>
      </c>
      <c r="I8" s="16">
        <f t="shared" si="10"/>
        <v>700</v>
      </c>
      <c r="K8" s="14">
        <v>1000</v>
      </c>
      <c r="L8" s="15">
        <f>Meetings!B8*100</f>
        <v>900</v>
      </c>
      <c r="M8" s="16">
        <f t="shared" si="11"/>
        <v>100</v>
      </c>
      <c r="O8" s="14">
        <f>(SA!C23)*100</f>
        <v>1100</v>
      </c>
      <c r="P8" s="15">
        <f>(SA!D23)*100</f>
        <v>900</v>
      </c>
      <c r="Q8" s="16">
        <f t="shared" si="12"/>
        <v>200</v>
      </c>
      <c r="S8" s="14">
        <v>3000</v>
      </c>
      <c r="T8" s="15">
        <f>Overhead!F9*100</f>
        <v>3500</v>
      </c>
      <c r="U8" s="16">
        <f t="shared" si="13"/>
        <v>-500</v>
      </c>
    </row>
    <row r="9" spans="2:21" ht="15" thickBot="1" x14ac:dyDescent="0.4">
      <c r="B9" s="8" t="s">
        <v>13</v>
      </c>
      <c r="C9" s="43">
        <f t="shared" si="1"/>
        <v>8500</v>
      </c>
      <c r="D9" s="44">
        <f t="shared" si="0"/>
        <v>9000</v>
      </c>
      <c r="E9" s="27">
        <f t="shared" si="2"/>
        <v>-500</v>
      </c>
      <c r="G9" s="14">
        <f>(Gantt!$C58)*100</f>
        <v>3400</v>
      </c>
      <c r="H9" s="15">
        <f>(Gantt!$D58)*100</f>
        <v>3300</v>
      </c>
      <c r="I9" s="16">
        <f t="shared" si="3"/>
        <v>100</v>
      </c>
      <c r="K9" s="14">
        <v>1000</v>
      </c>
      <c r="L9" s="15">
        <f>Meetings!B9*100</f>
        <v>900</v>
      </c>
      <c r="M9" s="16">
        <f t="shared" si="4"/>
        <v>100</v>
      </c>
      <c r="O9" s="43">
        <f>(SA!C27)*100</f>
        <v>1100</v>
      </c>
      <c r="P9" s="44">
        <f>(SA!D27)*100</f>
        <v>1300</v>
      </c>
      <c r="Q9" s="27">
        <f t="shared" si="5"/>
        <v>-200</v>
      </c>
      <c r="S9" s="43">
        <v>3000</v>
      </c>
      <c r="T9" s="44">
        <f>Overhead!G9*100</f>
        <v>3500</v>
      </c>
      <c r="U9" s="27">
        <f t="shared" si="6"/>
        <v>-500</v>
      </c>
    </row>
    <row r="10" spans="2:21" ht="15" thickBot="1" x14ac:dyDescent="0.4">
      <c r="B10" s="13" t="s">
        <v>0</v>
      </c>
      <c r="C10" s="24">
        <f>SUM(C4:C9)</f>
        <v>40300</v>
      </c>
      <c r="D10" s="25">
        <f>SUM(D4:D9)</f>
        <v>40500</v>
      </c>
      <c r="E10" s="26">
        <f>SUM(E4:E9)</f>
        <v>-200</v>
      </c>
      <c r="G10" s="17">
        <f>SUM(G4:G9)</f>
        <v>9700</v>
      </c>
      <c r="H10" s="18">
        <f>SUM(H4:H9)</f>
        <v>6500</v>
      </c>
      <c r="I10" s="19">
        <f>SUM(I4:I9)</f>
        <v>3200</v>
      </c>
      <c r="K10" s="17">
        <f>SUM(K4:K9)</f>
        <v>6000</v>
      </c>
      <c r="L10" s="18">
        <f>SUM(L4:L9)</f>
        <v>7400</v>
      </c>
      <c r="M10" s="19">
        <f>SUM(M4:M9)</f>
        <v>-1400</v>
      </c>
      <c r="O10" s="24">
        <f>SUM(O4:O9)</f>
        <v>6600</v>
      </c>
      <c r="P10" s="25">
        <f>SUM(P4:P9)</f>
        <v>7100</v>
      </c>
      <c r="Q10" s="26">
        <f>SUM(Q4:Q9)</f>
        <v>-500</v>
      </c>
      <c r="S10" s="24">
        <f>SUM(S4:S9)</f>
        <v>18000</v>
      </c>
      <c r="T10" s="25">
        <f>SUM(T4:T9)</f>
        <v>19500</v>
      </c>
      <c r="U10" s="26">
        <f>SUM(U4:U9)</f>
        <v>-1500</v>
      </c>
    </row>
  </sheetData>
  <mergeCells count="5">
    <mergeCell ref="S2:U2"/>
    <mergeCell ref="C2:E2"/>
    <mergeCell ref="K2:M2"/>
    <mergeCell ref="G2:I2"/>
    <mergeCell ref="O2:Q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86" workbookViewId="0">
      <selection activeCell="D55" sqref="D55"/>
    </sheetView>
  </sheetViews>
  <sheetFormatPr defaultRowHeight="14.5" x14ac:dyDescent="0.35"/>
  <cols>
    <col min="2" max="2" width="50.81640625" customWidth="1"/>
    <col min="3" max="3" width="17.54296875" customWidth="1"/>
    <col min="4" max="6" width="15.7265625" customWidth="1"/>
    <col min="9" max="9" width="10.7265625" customWidth="1"/>
  </cols>
  <sheetData>
    <row r="1" spans="1:65" x14ac:dyDescent="0.35">
      <c r="A1" s="46" t="s">
        <v>14</v>
      </c>
      <c r="B1" s="46"/>
      <c r="C1" s="46" t="s">
        <v>15</v>
      </c>
      <c r="D1" s="46" t="s">
        <v>16</v>
      </c>
      <c r="E1" s="46" t="s">
        <v>17</v>
      </c>
      <c r="F1" s="46" t="s">
        <v>18</v>
      </c>
      <c r="G1" s="46" t="s">
        <v>19</v>
      </c>
      <c r="H1" s="47" t="s">
        <v>20</v>
      </c>
      <c r="I1" s="49" t="s">
        <v>21</v>
      </c>
      <c r="J1" s="48" t="s">
        <v>22</v>
      </c>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row>
    <row r="2" spans="1:65" s="2" customFormat="1" x14ac:dyDescent="0.35">
      <c r="B2" s="1" t="s">
        <v>23</v>
      </c>
      <c r="G2" s="2">
        <v>1</v>
      </c>
      <c r="H2" s="2">
        <f>(G2+1)</f>
        <v>2</v>
      </c>
      <c r="I2" s="2">
        <f t="shared" ref="I2:AG2" si="0">(H2+1)</f>
        <v>3</v>
      </c>
      <c r="J2" s="2">
        <f t="shared" si="0"/>
        <v>4</v>
      </c>
      <c r="K2" s="2">
        <f t="shared" si="0"/>
        <v>5</v>
      </c>
      <c r="L2" s="2">
        <f t="shared" si="0"/>
        <v>6</v>
      </c>
      <c r="M2" s="2">
        <f t="shared" si="0"/>
        <v>7</v>
      </c>
      <c r="N2" s="2">
        <f t="shared" si="0"/>
        <v>8</v>
      </c>
      <c r="O2" s="2">
        <f t="shared" si="0"/>
        <v>9</v>
      </c>
      <c r="P2" s="2">
        <f t="shared" si="0"/>
        <v>10</v>
      </c>
      <c r="Q2" s="2">
        <f t="shared" si="0"/>
        <v>11</v>
      </c>
      <c r="R2" s="2">
        <f t="shared" si="0"/>
        <v>12</v>
      </c>
      <c r="S2" s="2">
        <f t="shared" si="0"/>
        <v>13</v>
      </c>
      <c r="T2" s="2">
        <f t="shared" si="0"/>
        <v>14</v>
      </c>
      <c r="U2" s="2">
        <f t="shared" si="0"/>
        <v>15</v>
      </c>
      <c r="V2" s="2">
        <f t="shared" si="0"/>
        <v>16</v>
      </c>
      <c r="W2" s="2">
        <f t="shared" si="0"/>
        <v>17</v>
      </c>
      <c r="X2" s="2">
        <f t="shared" si="0"/>
        <v>18</v>
      </c>
      <c r="Y2" s="2">
        <f t="shared" si="0"/>
        <v>19</v>
      </c>
      <c r="Z2" s="2">
        <f t="shared" si="0"/>
        <v>20</v>
      </c>
      <c r="AA2" s="2">
        <f t="shared" si="0"/>
        <v>21</v>
      </c>
      <c r="AB2" s="2">
        <f t="shared" si="0"/>
        <v>22</v>
      </c>
      <c r="AC2" s="2">
        <f t="shared" si="0"/>
        <v>23</v>
      </c>
      <c r="AD2" s="2">
        <f t="shared" si="0"/>
        <v>24</v>
      </c>
      <c r="AE2" s="2">
        <f t="shared" si="0"/>
        <v>25</v>
      </c>
      <c r="AF2" s="2">
        <f t="shared" si="0"/>
        <v>26</v>
      </c>
      <c r="AG2" s="2">
        <f t="shared" si="0"/>
        <v>27</v>
      </c>
      <c r="AH2" s="2">
        <f t="shared" ref="AH2:AX2" si="1">(AG2+1)</f>
        <v>28</v>
      </c>
      <c r="AI2" s="2">
        <f t="shared" si="1"/>
        <v>29</v>
      </c>
      <c r="AJ2" s="2">
        <f t="shared" si="1"/>
        <v>30</v>
      </c>
      <c r="AK2" s="2">
        <f t="shared" si="1"/>
        <v>31</v>
      </c>
      <c r="AL2" s="2">
        <f t="shared" si="1"/>
        <v>32</v>
      </c>
      <c r="AM2" s="2">
        <f t="shared" si="1"/>
        <v>33</v>
      </c>
      <c r="AN2" s="2">
        <f t="shared" si="1"/>
        <v>34</v>
      </c>
      <c r="AO2" s="2">
        <f t="shared" si="1"/>
        <v>35</v>
      </c>
      <c r="AP2" s="2">
        <f t="shared" si="1"/>
        <v>36</v>
      </c>
      <c r="AQ2" s="2">
        <f t="shared" si="1"/>
        <v>37</v>
      </c>
      <c r="AR2" s="2">
        <f t="shared" si="1"/>
        <v>38</v>
      </c>
      <c r="AS2" s="2">
        <f t="shared" si="1"/>
        <v>39</v>
      </c>
      <c r="AT2" s="2">
        <f t="shared" si="1"/>
        <v>40</v>
      </c>
      <c r="AU2" s="2">
        <f t="shared" si="1"/>
        <v>41</v>
      </c>
      <c r="AV2" s="2">
        <f t="shared" si="1"/>
        <v>42</v>
      </c>
      <c r="AW2" s="2">
        <f t="shared" si="1"/>
        <v>43</v>
      </c>
      <c r="AX2" s="2">
        <f t="shared" si="1"/>
        <v>44</v>
      </c>
      <c r="AY2" s="2">
        <f t="shared" ref="AY2:BM2" si="2">(AX2+1)</f>
        <v>45</v>
      </c>
      <c r="AZ2" s="2">
        <f t="shared" si="2"/>
        <v>46</v>
      </c>
      <c r="BA2" s="2">
        <f t="shared" si="2"/>
        <v>47</v>
      </c>
      <c r="BB2" s="2">
        <f t="shared" si="2"/>
        <v>48</v>
      </c>
      <c r="BC2" s="2">
        <f t="shared" si="2"/>
        <v>49</v>
      </c>
      <c r="BD2" s="2">
        <f t="shared" si="2"/>
        <v>50</v>
      </c>
      <c r="BE2" s="2">
        <f t="shared" si="2"/>
        <v>51</v>
      </c>
      <c r="BF2" s="2">
        <f t="shared" si="2"/>
        <v>52</v>
      </c>
      <c r="BG2" s="2">
        <f t="shared" si="2"/>
        <v>53</v>
      </c>
      <c r="BH2" s="2">
        <f t="shared" si="2"/>
        <v>54</v>
      </c>
      <c r="BI2" s="2">
        <f t="shared" si="2"/>
        <v>55</v>
      </c>
      <c r="BJ2" s="2">
        <f t="shared" si="2"/>
        <v>56</v>
      </c>
      <c r="BK2" s="2">
        <f t="shared" si="2"/>
        <v>57</v>
      </c>
      <c r="BL2" s="2">
        <f t="shared" si="2"/>
        <v>58</v>
      </c>
      <c r="BM2" s="2">
        <f t="shared" si="2"/>
        <v>59</v>
      </c>
    </row>
    <row r="3" spans="1:65" ht="15.5" x14ac:dyDescent="0.35">
      <c r="A3">
        <v>1</v>
      </c>
      <c r="B3" s="60" t="s">
        <v>24</v>
      </c>
      <c r="C3" s="61">
        <v>4</v>
      </c>
      <c r="D3" s="61">
        <v>3</v>
      </c>
      <c r="E3" s="61" t="s">
        <v>25</v>
      </c>
      <c r="F3" t="s">
        <v>20</v>
      </c>
      <c r="G3" t="str">
        <f>($F3)</f>
        <v>complete</v>
      </c>
      <c r="H3" t="str">
        <f>($F3)</f>
        <v>complete</v>
      </c>
      <c r="I3" t="str">
        <f>($F3)</f>
        <v>complete</v>
      </c>
      <c r="J3" t="str">
        <f>($F3)</f>
        <v>complete</v>
      </c>
    </row>
    <row r="4" spans="1:65" ht="15.5" x14ac:dyDescent="0.35">
      <c r="A4">
        <v>2</v>
      </c>
      <c r="B4" s="60" t="s">
        <v>26</v>
      </c>
      <c r="C4" s="61">
        <v>5</v>
      </c>
      <c r="D4" s="61">
        <v>5</v>
      </c>
      <c r="E4" s="61">
        <v>1</v>
      </c>
      <c r="F4" t="s">
        <v>20</v>
      </c>
      <c r="K4" t="str">
        <f t="shared" ref="K4:O4" si="3">($F4)</f>
        <v>complete</v>
      </c>
      <c r="L4" t="str">
        <f t="shared" si="3"/>
        <v>complete</v>
      </c>
      <c r="M4" t="str">
        <f t="shared" si="3"/>
        <v>complete</v>
      </c>
      <c r="N4" t="str">
        <f t="shared" si="3"/>
        <v>complete</v>
      </c>
      <c r="O4" t="str">
        <f t="shared" si="3"/>
        <v>complete</v>
      </c>
    </row>
    <row r="5" spans="1:65" ht="15.5" x14ac:dyDescent="0.35">
      <c r="A5">
        <v>3</v>
      </c>
      <c r="B5" s="60" t="s">
        <v>27</v>
      </c>
      <c r="C5" s="61">
        <v>7</v>
      </c>
      <c r="D5" s="61"/>
      <c r="E5" s="61">
        <v>1</v>
      </c>
      <c r="F5" t="s">
        <v>21</v>
      </c>
      <c r="P5" t="str">
        <f>($F5)</f>
        <v>this week</v>
      </c>
      <c r="Q5" t="str">
        <f>($F5)</f>
        <v>this week</v>
      </c>
      <c r="R5" t="str">
        <f>($F5)</f>
        <v>this week</v>
      </c>
      <c r="S5" t="str">
        <f>($F5)</f>
        <v>this week</v>
      </c>
      <c r="T5" t="str">
        <f>($F5)</f>
        <v>this week</v>
      </c>
    </row>
    <row r="6" spans="1:65" ht="15.5" x14ac:dyDescent="0.35">
      <c r="A6">
        <v>4</v>
      </c>
      <c r="B6" s="60" t="s">
        <v>28</v>
      </c>
      <c r="C6" s="61">
        <v>4</v>
      </c>
      <c r="D6" s="61"/>
      <c r="E6" s="61" t="s">
        <v>25</v>
      </c>
      <c r="F6" t="s">
        <v>21</v>
      </c>
      <c r="U6" t="str">
        <f>($F6)</f>
        <v>this week</v>
      </c>
    </row>
    <row r="7" spans="1:65" ht="15.5" x14ac:dyDescent="0.35">
      <c r="A7">
        <v>5</v>
      </c>
      <c r="B7" s="60" t="s">
        <v>29</v>
      </c>
      <c r="C7" s="61">
        <v>10</v>
      </c>
      <c r="D7" s="61"/>
      <c r="E7" s="61" t="s">
        <v>25</v>
      </c>
      <c r="F7" t="s">
        <v>22</v>
      </c>
      <c r="V7" t="str">
        <f t="shared" ref="V7:X7" si="4">($F7)</f>
        <v>planned</v>
      </c>
      <c r="W7" t="str">
        <f t="shared" si="4"/>
        <v>planned</v>
      </c>
      <c r="X7" t="str">
        <f t="shared" si="4"/>
        <v>planned</v>
      </c>
    </row>
    <row r="8" spans="1:65" ht="15.5" x14ac:dyDescent="0.35">
      <c r="A8">
        <v>6</v>
      </c>
      <c r="B8" s="60" t="s">
        <v>30</v>
      </c>
      <c r="C8" s="61">
        <v>5</v>
      </c>
      <c r="D8" s="61"/>
      <c r="E8" s="61" t="s">
        <v>25</v>
      </c>
      <c r="F8" t="s">
        <v>22</v>
      </c>
      <c r="Y8" t="str">
        <f t="shared" ref="Y8:AA8" si="5">($F8)</f>
        <v>planned</v>
      </c>
      <c r="Z8" t="str">
        <f t="shared" si="5"/>
        <v>planned</v>
      </c>
      <c r="AA8" t="str">
        <f t="shared" si="5"/>
        <v>planned</v>
      </c>
    </row>
    <row r="9" spans="1:65" ht="15.5" x14ac:dyDescent="0.35">
      <c r="A9">
        <v>7</v>
      </c>
      <c r="B9" s="60" t="s">
        <v>31</v>
      </c>
      <c r="C9" s="61">
        <v>6</v>
      </c>
      <c r="D9" s="61"/>
      <c r="E9" s="61">
        <v>6</v>
      </c>
      <c r="F9" t="s">
        <v>22</v>
      </c>
      <c r="AB9" t="str">
        <f t="shared" ref="AB9:AE9" si="6">($F9)</f>
        <v>planned</v>
      </c>
      <c r="AC9" t="str">
        <f t="shared" si="6"/>
        <v>planned</v>
      </c>
      <c r="AD9" t="str">
        <f t="shared" si="6"/>
        <v>planned</v>
      </c>
      <c r="AE9" t="str">
        <f t="shared" si="6"/>
        <v>planned</v>
      </c>
    </row>
    <row r="10" spans="1:65" ht="15.5" x14ac:dyDescent="0.35">
      <c r="A10">
        <v>8</v>
      </c>
      <c r="B10" s="60" t="s">
        <v>32</v>
      </c>
      <c r="C10" s="61">
        <v>4</v>
      </c>
      <c r="D10" s="61"/>
      <c r="E10" s="61" t="s">
        <v>25</v>
      </c>
      <c r="F10" t="s">
        <v>22</v>
      </c>
      <c r="AF10" t="str">
        <f t="shared" ref="AF10:AR10" si="7">($F10)</f>
        <v>planned</v>
      </c>
      <c r="AG10" t="str">
        <f t="shared" si="7"/>
        <v>planned</v>
      </c>
      <c r="AH10" t="str">
        <f t="shared" si="7"/>
        <v>planned</v>
      </c>
      <c r="AI10" t="str">
        <f t="shared" si="7"/>
        <v>planned</v>
      </c>
      <c r="AJ10" t="str">
        <f t="shared" si="7"/>
        <v>planned</v>
      </c>
      <c r="AK10" t="str">
        <f t="shared" si="7"/>
        <v>planned</v>
      </c>
      <c r="AL10" t="str">
        <f t="shared" si="7"/>
        <v>planned</v>
      </c>
      <c r="AM10" t="str">
        <f t="shared" si="7"/>
        <v>planned</v>
      </c>
      <c r="AN10" t="str">
        <f t="shared" si="7"/>
        <v>planned</v>
      </c>
      <c r="AO10" t="str">
        <f t="shared" si="7"/>
        <v>planned</v>
      </c>
      <c r="AP10" t="str">
        <f t="shared" si="7"/>
        <v>planned</v>
      </c>
      <c r="AQ10" t="str">
        <f t="shared" si="7"/>
        <v>planned</v>
      </c>
      <c r="AR10" t="str">
        <f t="shared" si="7"/>
        <v>planned</v>
      </c>
    </row>
    <row r="11" spans="1:65" ht="15.5" x14ac:dyDescent="0.35">
      <c r="A11">
        <v>9</v>
      </c>
      <c r="B11" s="60" t="s">
        <v>33</v>
      </c>
      <c r="C11" s="61">
        <v>5</v>
      </c>
      <c r="D11" s="61"/>
      <c r="E11" s="61">
        <v>8</v>
      </c>
      <c r="F11" t="s">
        <v>22</v>
      </c>
      <c r="AS11" t="str">
        <f>($F11)</f>
        <v>planned</v>
      </c>
    </row>
    <row r="12" spans="1:65" x14ac:dyDescent="0.35">
      <c r="B12" t="s">
        <v>34</v>
      </c>
      <c r="C12">
        <f>SUM(C3:C11)</f>
        <v>50</v>
      </c>
      <c r="D12">
        <f>SUM(D3:D11)</f>
        <v>8</v>
      </c>
    </row>
    <row r="13" spans="1:65" s="2" customFormat="1" x14ac:dyDescent="0.35">
      <c r="B13" s="2" t="s">
        <v>35</v>
      </c>
    </row>
    <row r="14" spans="1:65" x14ac:dyDescent="0.35">
      <c r="A14">
        <v>1</v>
      </c>
      <c r="F14" t="s">
        <v>22</v>
      </c>
    </row>
    <row r="15" spans="1:65" x14ac:dyDescent="0.35">
      <c r="A15">
        <v>2</v>
      </c>
      <c r="F15" t="s">
        <v>22</v>
      </c>
    </row>
    <row r="16" spans="1:65" x14ac:dyDescent="0.35">
      <c r="A16">
        <v>3</v>
      </c>
      <c r="F16" t="s">
        <v>22</v>
      </c>
    </row>
    <row r="17" spans="1:36" x14ac:dyDescent="0.35">
      <c r="A17">
        <v>4</v>
      </c>
      <c r="F17" t="s">
        <v>22</v>
      </c>
    </row>
    <row r="18" spans="1:36" x14ac:dyDescent="0.35">
      <c r="B18" t="s">
        <v>34</v>
      </c>
      <c r="C18">
        <f>SUM(C14:C17)</f>
        <v>0</v>
      </c>
      <c r="D18">
        <f>SUM(D14:D17)</f>
        <v>0</v>
      </c>
    </row>
    <row r="19" spans="1:36" s="2" customFormat="1" x14ac:dyDescent="0.35">
      <c r="B19" s="2" t="s">
        <v>36</v>
      </c>
    </row>
    <row r="20" spans="1:36" x14ac:dyDescent="0.35">
      <c r="A20">
        <v>1</v>
      </c>
      <c r="F20" t="s">
        <v>22</v>
      </c>
    </row>
    <row r="21" spans="1:36" x14ac:dyDescent="0.35">
      <c r="A21">
        <v>2</v>
      </c>
      <c r="F21" t="s">
        <v>22</v>
      </c>
    </row>
    <row r="22" spans="1:36" x14ac:dyDescent="0.35">
      <c r="A22">
        <v>3</v>
      </c>
      <c r="F22" t="s">
        <v>22</v>
      </c>
    </row>
    <row r="23" spans="1:36" x14ac:dyDescent="0.35">
      <c r="B23" t="s">
        <v>34</v>
      </c>
      <c r="C23">
        <f>SUM(C20:C22)</f>
        <v>0</v>
      </c>
      <c r="D23">
        <f>SUM(D20:D22)</f>
        <v>0</v>
      </c>
    </row>
    <row r="24" spans="1:36" s="2" customFormat="1" x14ac:dyDescent="0.35">
      <c r="B24" s="2" t="s">
        <v>37</v>
      </c>
    </row>
    <row r="25" spans="1:36" ht="15.5" x14ac:dyDescent="0.35">
      <c r="A25">
        <v>1</v>
      </c>
      <c r="B25" s="60" t="s">
        <v>38</v>
      </c>
      <c r="C25" s="61">
        <v>4</v>
      </c>
      <c r="D25" s="61">
        <v>3</v>
      </c>
      <c r="E25" s="61" t="s">
        <v>25</v>
      </c>
      <c r="F25" t="s">
        <v>20</v>
      </c>
      <c r="G25" t="str">
        <f>($F25)</f>
        <v>complete</v>
      </c>
      <c r="H25" t="str">
        <f>($F25)</f>
        <v>complete</v>
      </c>
      <c r="I25" t="str">
        <f>($F25)</f>
        <v>complete</v>
      </c>
      <c r="J25" t="str">
        <f>($F25)</f>
        <v>complete</v>
      </c>
    </row>
    <row r="26" spans="1:36" ht="15.5" x14ac:dyDescent="0.35">
      <c r="A26">
        <v>2</v>
      </c>
      <c r="B26" s="60" t="s">
        <v>39</v>
      </c>
      <c r="C26" s="61">
        <v>3</v>
      </c>
      <c r="D26" s="61">
        <v>3</v>
      </c>
      <c r="E26" s="61">
        <v>1</v>
      </c>
      <c r="F26" t="s">
        <v>20</v>
      </c>
      <c r="K26" t="str">
        <f>($F26)</f>
        <v>complete</v>
      </c>
      <c r="L26" t="str">
        <f>($F26)</f>
        <v>complete</v>
      </c>
      <c r="M26" t="str">
        <f>($F26)</f>
        <v>complete</v>
      </c>
    </row>
    <row r="27" spans="1:36" ht="15.5" x14ac:dyDescent="0.35">
      <c r="A27">
        <v>3</v>
      </c>
      <c r="B27" s="60" t="s">
        <v>40</v>
      </c>
      <c r="C27" s="61">
        <v>8</v>
      </c>
      <c r="D27" s="61">
        <v>9</v>
      </c>
      <c r="E27" s="61">
        <v>2</v>
      </c>
      <c r="F27" t="s">
        <v>20</v>
      </c>
      <c r="N27" t="str">
        <f t="shared" ref="N27:U27" si="8">($F27)</f>
        <v>complete</v>
      </c>
      <c r="O27" t="str">
        <f t="shared" si="8"/>
        <v>complete</v>
      </c>
      <c r="P27" t="str">
        <f t="shared" si="8"/>
        <v>complete</v>
      </c>
      <c r="Q27" t="str">
        <f t="shared" si="8"/>
        <v>complete</v>
      </c>
      <c r="R27" t="str">
        <f t="shared" si="8"/>
        <v>complete</v>
      </c>
      <c r="S27" t="str">
        <f t="shared" si="8"/>
        <v>complete</v>
      </c>
      <c r="T27" t="str">
        <f t="shared" si="8"/>
        <v>complete</v>
      </c>
      <c r="U27" t="str">
        <f t="shared" si="8"/>
        <v>complete</v>
      </c>
    </row>
    <row r="28" spans="1:36" ht="15.5" x14ac:dyDescent="0.35">
      <c r="A28">
        <v>4</v>
      </c>
      <c r="B28" s="60" t="s">
        <v>41</v>
      </c>
      <c r="C28" s="61">
        <v>4</v>
      </c>
      <c r="D28" s="61">
        <v>3</v>
      </c>
      <c r="E28" s="61">
        <v>3</v>
      </c>
      <c r="F28" t="s">
        <v>20</v>
      </c>
      <c r="V28" t="str">
        <f t="shared" ref="V28:Y28" si="9">($F28)</f>
        <v>complete</v>
      </c>
      <c r="W28" t="str">
        <f t="shared" si="9"/>
        <v>complete</v>
      </c>
      <c r="X28" t="str">
        <f t="shared" si="9"/>
        <v>complete</v>
      </c>
      <c r="Y28" t="str">
        <f t="shared" si="9"/>
        <v>complete</v>
      </c>
    </row>
    <row r="29" spans="1:36" ht="15.5" x14ac:dyDescent="0.35">
      <c r="A29">
        <v>5</v>
      </c>
      <c r="B29" s="60" t="s">
        <v>42</v>
      </c>
      <c r="C29" s="61">
        <v>6</v>
      </c>
      <c r="D29" s="61"/>
      <c r="E29" s="61" t="s">
        <v>43</v>
      </c>
      <c r="F29" t="s">
        <v>21</v>
      </c>
      <c r="V29" t="str">
        <f t="shared" ref="V29:AA29" si="10">($F29)</f>
        <v>this week</v>
      </c>
      <c r="W29" t="str">
        <f t="shared" si="10"/>
        <v>this week</v>
      </c>
      <c r="X29" t="str">
        <f t="shared" si="10"/>
        <v>this week</v>
      </c>
      <c r="Y29" t="str">
        <f t="shared" si="10"/>
        <v>this week</v>
      </c>
      <c r="Z29" t="str">
        <f t="shared" si="10"/>
        <v>this week</v>
      </c>
      <c r="AA29" t="str">
        <f t="shared" si="10"/>
        <v>this week</v>
      </c>
    </row>
    <row r="30" spans="1:36" ht="15.5" x14ac:dyDescent="0.35">
      <c r="A30">
        <v>6</v>
      </c>
      <c r="B30" s="60" t="s">
        <v>44</v>
      </c>
      <c r="C30" s="61">
        <v>4</v>
      </c>
      <c r="D30" s="61"/>
      <c r="E30" s="61" t="s">
        <v>45</v>
      </c>
      <c r="F30" t="s">
        <v>21</v>
      </c>
      <c r="Z30" t="str">
        <f>($F30)</f>
        <v>this week</v>
      </c>
      <c r="AA30" t="str">
        <f>($F30)</f>
        <v>this week</v>
      </c>
      <c r="AB30" t="str">
        <f>($F30)</f>
        <v>this week</v>
      </c>
      <c r="AC30" t="str">
        <f>($F30)</f>
        <v>this week</v>
      </c>
    </row>
    <row r="31" spans="1:36" ht="15.5" x14ac:dyDescent="0.35">
      <c r="A31">
        <v>7</v>
      </c>
      <c r="B31" s="60" t="s">
        <v>46</v>
      </c>
      <c r="C31" s="61">
        <v>5</v>
      </c>
      <c r="D31" s="61"/>
      <c r="E31" s="61">
        <v>4</v>
      </c>
      <c r="F31" t="s">
        <v>22</v>
      </c>
      <c r="Z31" t="str">
        <f>($F31)</f>
        <v>planned</v>
      </c>
      <c r="AA31" t="str">
        <f t="shared" ref="AA31:AD31" si="11">($F31)</f>
        <v>planned</v>
      </c>
      <c r="AB31" t="str">
        <f t="shared" si="11"/>
        <v>planned</v>
      </c>
      <c r="AC31" t="str">
        <f t="shared" si="11"/>
        <v>planned</v>
      </c>
      <c r="AD31" t="str">
        <f t="shared" si="11"/>
        <v>planned</v>
      </c>
    </row>
    <row r="32" spans="1:36" ht="15.5" x14ac:dyDescent="0.35">
      <c r="A32">
        <v>8</v>
      </c>
      <c r="B32" s="60" t="s">
        <v>47</v>
      </c>
      <c r="C32" s="61">
        <v>6</v>
      </c>
      <c r="D32" s="61"/>
      <c r="E32" s="61">
        <v>5</v>
      </c>
      <c r="F32" t="s">
        <v>22</v>
      </c>
      <c r="AE32" t="str">
        <f t="shared" ref="AE32:AJ32" si="12">($F32)</f>
        <v>planned</v>
      </c>
      <c r="AF32" t="str">
        <f t="shared" si="12"/>
        <v>planned</v>
      </c>
      <c r="AG32" t="str">
        <f t="shared" si="12"/>
        <v>planned</v>
      </c>
      <c r="AH32" t="str">
        <f t="shared" si="12"/>
        <v>planned</v>
      </c>
      <c r="AI32" t="str">
        <f t="shared" si="12"/>
        <v>planned</v>
      </c>
      <c r="AJ32" t="str">
        <f t="shared" si="12"/>
        <v>planned</v>
      </c>
    </row>
    <row r="33" spans="1:48" ht="15.5" x14ac:dyDescent="0.35">
      <c r="A33">
        <v>9</v>
      </c>
      <c r="B33" s="60" t="s">
        <v>48</v>
      </c>
      <c r="C33" s="61">
        <v>5</v>
      </c>
      <c r="D33" s="61"/>
      <c r="E33" s="61">
        <v>8</v>
      </c>
      <c r="F33" t="s">
        <v>22</v>
      </c>
      <c r="AK33" t="str">
        <f t="shared" ref="AK33:AP33" si="13">($F33)</f>
        <v>planned</v>
      </c>
      <c r="AL33" t="str">
        <f t="shared" si="13"/>
        <v>planned</v>
      </c>
      <c r="AM33" t="str">
        <f t="shared" si="13"/>
        <v>planned</v>
      </c>
      <c r="AN33" t="str">
        <f t="shared" si="13"/>
        <v>planned</v>
      </c>
      <c r="AO33" t="str">
        <f t="shared" si="13"/>
        <v>planned</v>
      </c>
      <c r="AP33" t="str">
        <f t="shared" si="13"/>
        <v>planned</v>
      </c>
    </row>
    <row r="34" spans="1:48" ht="15.5" x14ac:dyDescent="0.35">
      <c r="A34">
        <v>10</v>
      </c>
      <c r="B34" s="60" t="s">
        <v>49</v>
      </c>
      <c r="C34" s="61">
        <v>2</v>
      </c>
      <c r="D34" s="61"/>
      <c r="E34" s="61">
        <v>9</v>
      </c>
      <c r="F34" t="s">
        <v>22</v>
      </c>
      <c r="AQ34" t="str">
        <f t="shared" ref="AQ34:AR34" si="14">($F34)</f>
        <v>planned</v>
      </c>
      <c r="AR34" t="str">
        <f t="shared" si="14"/>
        <v>planned</v>
      </c>
    </row>
    <row r="35" spans="1:48" x14ac:dyDescent="0.35">
      <c r="A35">
        <v>11</v>
      </c>
      <c r="B35" t="s">
        <v>50</v>
      </c>
      <c r="C35">
        <v>4</v>
      </c>
      <c r="E35">
        <v>8</v>
      </c>
      <c r="F35" t="s">
        <v>22</v>
      </c>
      <c r="AS35" t="str">
        <f t="shared" ref="AS35:AV35" si="15">($F35)</f>
        <v>planned</v>
      </c>
      <c r="AT35" t="str">
        <f t="shared" si="15"/>
        <v>planned</v>
      </c>
      <c r="AU35" t="str">
        <f t="shared" si="15"/>
        <v>planned</v>
      </c>
      <c r="AV35" t="str">
        <f t="shared" si="15"/>
        <v>planned</v>
      </c>
    </row>
    <row r="36" spans="1:48" x14ac:dyDescent="0.35">
      <c r="B36" t="s">
        <v>34</v>
      </c>
      <c r="C36">
        <f>SUM(C25:C35)</f>
        <v>51</v>
      </c>
      <c r="D36">
        <f>SUM(D25:D35)</f>
        <v>18</v>
      </c>
    </row>
    <row r="37" spans="1:48" s="2" customFormat="1" x14ac:dyDescent="0.35">
      <c r="B37" s="2" t="s">
        <v>51</v>
      </c>
    </row>
    <row r="38" spans="1:48" ht="15.5" x14ac:dyDescent="0.35">
      <c r="A38">
        <v>1</v>
      </c>
      <c r="B38" s="60" t="s">
        <v>52</v>
      </c>
      <c r="C38">
        <v>2</v>
      </c>
      <c r="D38">
        <v>3</v>
      </c>
      <c r="F38" t="s">
        <v>20</v>
      </c>
      <c r="G38" t="str">
        <f t="shared" ref="G38:H38" si="16">($F38)</f>
        <v>complete</v>
      </c>
      <c r="H38" t="str">
        <f t="shared" si="16"/>
        <v>complete</v>
      </c>
    </row>
    <row r="39" spans="1:48" ht="15.5" x14ac:dyDescent="0.35">
      <c r="A39">
        <v>2</v>
      </c>
      <c r="B39" s="60" t="s">
        <v>53</v>
      </c>
      <c r="C39">
        <v>2</v>
      </c>
      <c r="D39">
        <v>3</v>
      </c>
      <c r="F39" t="s">
        <v>20</v>
      </c>
      <c r="I39" s="62"/>
      <c r="J39" s="62"/>
    </row>
    <row r="40" spans="1:48" ht="15.5" x14ac:dyDescent="0.35">
      <c r="A40">
        <v>3</v>
      </c>
      <c r="B40" s="60" t="s">
        <v>54</v>
      </c>
      <c r="C40">
        <v>4</v>
      </c>
      <c r="F40" t="s">
        <v>21</v>
      </c>
      <c r="K40" s="63"/>
      <c r="L40" s="63"/>
      <c r="M40" s="63"/>
      <c r="N40" s="63"/>
    </row>
    <row r="41" spans="1:48" ht="15.5" x14ac:dyDescent="0.35">
      <c r="A41">
        <v>4</v>
      </c>
      <c r="B41" s="60" t="s">
        <v>55</v>
      </c>
      <c r="C41">
        <v>3</v>
      </c>
      <c r="F41" t="s">
        <v>21</v>
      </c>
      <c r="O41" s="63"/>
      <c r="P41" s="63"/>
      <c r="Q41" s="63"/>
    </row>
    <row r="42" spans="1:48" ht="15.5" x14ac:dyDescent="0.35">
      <c r="A42">
        <v>5</v>
      </c>
      <c r="B42" s="60" t="s">
        <v>56</v>
      </c>
      <c r="C42">
        <v>2</v>
      </c>
      <c r="F42" t="s">
        <v>22</v>
      </c>
    </row>
    <row r="43" spans="1:48" ht="15.5" x14ac:dyDescent="0.35">
      <c r="A43">
        <v>6</v>
      </c>
      <c r="B43" s="60" t="s">
        <v>57</v>
      </c>
      <c r="F43" t="s">
        <v>22</v>
      </c>
    </row>
    <row r="44" spans="1:48" ht="15.5" x14ac:dyDescent="0.35">
      <c r="A44">
        <v>7</v>
      </c>
      <c r="B44" s="60" t="s">
        <v>58</v>
      </c>
      <c r="F44" t="s">
        <v>22</v>
      </c>
    </row>
    <row r="45" spans="1:48" ht="15.5" x14ac:dyDescent="0.35">
      <c r="A45">
        <v>8</v>
      </c>
      <c r="B45" s="60" t="s">
        <v>59</v>
      </c>
      <c r="F45" t="s">
        <v>22</v>
      </c>
    </row>
    <row r="46" spans="1:48" ht="15.5" x14ac:dyDescent="0.35">
      <c r="A46">
        <v>9</v>
      </c>
      <c r="B46" s="60" t="s">
        <v>60</v>
      </c>
      <c r="F46" t="s">
        <v>22</v>
      </c>
    </row>
    <row r="47" spans="1:48" ht="15.5" x14ac:dyDescent="0.35">
      <c r="A47">
        <v>10</v>
      </c>
      <c r="B47" s="60" t="s">
        <v>61</v>
      </c>
      <c r="F47" t="s">
        <v>22</v>
      </c>
    </row>
    <row r="48" spans="1:48" ht="15.5" x14ac:dyDescent="0.35">
      <c r="A48">
        <v>11</v>
      </c>
      <c r="B48" s="60" t="s">
        <v>49</v>
      </c>
      <c r="F48" t="s">
        <v>22</v>
      </c>
    </row>
    <row r="49" spans="1:36" x14ac:dyDescent="0.35">
      <c r="B49" t="s">
        <v>34</v>
      </c>
      <c r="C49">
        <f>SUM(C38:C48)</f>
        <v>13</v>
      </c>
      <c r="D49">
        <f>SUM(D38:D48)</f>
        <v>6</v>
      </c>
    </row>
    <row r="50" spans="1:36" s="2" customFormat="1" x14ac:dyDescent="0.35">
      <c r="B50" s="2" t="s">
        <v>62</v>
      </c>
    </row>
    <row r="51" spans="1:36" ht="15.5" x14ac:dyDescent="0.35">
      <c r="A51">
        <v>1</v>
      </c>
      <c r="B51" s="60" t="s">
        <v>63</v>
      </c>
      <c r="C51" s="60">
        <v>4</v>
      </c>
      <c r="D51" s="60">
        <v>4</v>
      </c>
      <c r="E51" s="60"/>
      <c r="F51" t="s">
        <v>20</v>
      </c>
      <c r="G51" t="str">
        <f t="shared" ref="G51:K51" si="17">($F51)</f>
        <v>complete</v>
      </c>
      <c r="H51" t="str">
        <f t="shared" si="17"/>
        <v>complete</v>
      </c>
      <c r="I51" t="str">
        <f t="shared" si="17"/>
        <v>complete</v>
      </c>
      <c r="J51" t="str">
        <f t="shared" si="17"/>
        <v>complete</v>
      </c>
      <c r="K51" t="str">
        <f t="shared" si="17"/>
        <v>complete</v>
      </c>
    </row>
    <row r="52" spans="1:36" ht="15.5" x14ac:dyDescent="0.35">
      <c r="A52">
        <v>2</v>
      </c>
      <c r="B52" s="60" t="s">
        <v>64</v>
      </c>
      <c r="C52" s="60">
        <v>3</v>
      </c>
      <c r="D52" s="60">
        <v>5</v>
      </c>
      <c r="E52" s="60"/>
      <c r="F52" t="s">
        <v>20</v>
      </c>
      <c r="L52" t="str">
        <f t="shared" ref="L52:P52" si="18">($F52)</f>
        <v>complete</v>
      </c>
      <c r="M52" t="str">
        <f t="shared" si="18"/>
        <v>complete</v>
      </c>
      <c r="N52" t="str">
        <f t="shared" si="18"/>
        <v>complete</v>
      </c>
      <c r="O52" t="str">
        <f t="shared" si="18"/>
        <v>complete</v>
      </c>
      <c r="P52" t="str">
        <f t="shared" si="18"/>
        <v>complete</v>
      </c>
    </row>
    <row r="53" spans="1:36" ht="15.5" x14ac:dyDescent="0.35">
      <c r="A53">
        <v>3</v>
      </c>
      <c r="B53" s="60" t="s">
        <v>65</v>
      </c>
      <c r="C53" s="60">
        <v>8</v>
      </c>
      <c r="D53" s="60">
        <v>12</v>
      </c>
      <c r="E53" s="60"/>
      <c r="F53" t="s">
        <v>20</v>
      </c>
      <c r="Q53" t="str">
        <f t="shared" ref="Q53:V53" si="19">($F53)</f>
        <v>complete</v>
      </c>
      <c r="R53" t="str">
        <f t="shared" si="19"/>
        <v>complete</v>
      </c>
      <c r="S53" t="str">
        <f t="shared" si="19"/>
        <v>complete</v>
      </c>
      <c r="T53" t="str">
        <f t="shared" si="19"/>
        <v>complete</v>
      </c>
      <c r="U53" t="str">
        <f t="shared" si="19"/>
        <v>complete</v>
      </c>
      <c r="V53" t="str">
        <f t="shared" si="19"/>
        <v>complete</v>
      </c>
    </row>
    <row r="54" spans="1:36" ht="15.5" x14ac:dyDescent="0.35">
      <c r="A54">
        <v>4</v>
      </c>
      <c r="B54" s="60" t="s">
        <v>66</v>
      </c>
      <c r="C54" s="60">
        <v>8</v>
      </c>
      <c r="D54" s="60">
        <v>12</v>
      </c>
      <c r="E54" s="60"/>
      <c r="F54" t="s">
        <v>20</v>
      </c>
      <c r="W54" t="str">
        <f t="shared" ref="W54:X54" si="20">($F54)</f>
        <v>complete</v>
      </c>
      <c r="X54" t="str">
        <f t="shared" si="20"/>
        <v>complete</v>
      </c>
    </row>
    <row r="55" spans="1:36" ht="15.5" x14ac:dyDescent="0.35">
      <c r="A55">
        <v>5</v>
      </c>
      <c r="B55" s="60" t="s">
        <v>48</v>
      </c>
      <c r="C55" s="60">
        <v>6</v>
      </c>
      <c r="F55" t="s">
        <v>21</v>
      </c>
      <c r="Y55" t="str">
        <f t="shared" ref="Y55:AD55" si="21">($F55)</f>
        <v>this week</v>
      </c>
      <c r="Z55" t="str">
        <f t="shared" si="21"/>
        <v>this week</v>
      </c>
      <c r="AA55" t="str">
        <f t="shared" si="21"/>
        <v>this week</v>
      </c>
      <c r="AB55" t="str">
        <f t="shared" si="21"/>
        <v>this week</v>
      </c>
      <c r="AC55" t="str">
        <f t="shared" si="21"/>
        <v>this week</v>
      </c>
      <c r="AD55" t="str">
        <f t="shared" si="21"/>
        <v>this week</v>
      </c>
    </row>
    <row r="56" spans="1:36" ht="15.5" x14ac:dyDescent="0.35">
      <c r="A56">
        <v>6</v>
      </c>
      <c r="B56" s="60" t="s">
        <v>67</v>
      </c>
      <c r="C56" s="60">
        <v>3</v>
      </c>
      <c r="F56" t="s">
        <v>21</v>
      </c>
      <c r="AE56" t="str">
        <f t="shared" ref="AE56:AF56" si="22">($F56)</f>
        <v>this week</v>
      </c>
      <c r="AF56" t="str">
        <f t="shared" si="22"/>
        <v>this week</v>
      </c>
    </row>
    <row r="57" spans="1:36" ht="15.5" x14ac:dyDescent="0.35">
      <c r="A57">
        <v>7</v>
      </c>
      <c r="B57" s="60" t="s">
        <v>68</v>
      </c>
      <c r="C57" s="60">
        <v>2</v>
      </c>
      <c r="F57" t="s">
        <v>22</v>
      </c>
      <c r="AG57" t="str">
        <f t="shared" ref="AG57:AJ57" si="23">($F57)</f>
        <v>planned</v>
      </c>
      <c r="AH57" t="str">
        <f t="shared" si="23"/>
        <v>planned</v>
      </c>
      <c r="AI57" t="str">
        <f t="shared" si="23"/>
        <v>planned</v>
      </c>
      <c r="AJ57" t="str">
        <f t="shared" si="23"/>
        <v>planned</v>
      </c>
    </row>
    <row r="58" spans="1:36" x14ac:dyDescent="0.35">
      <c r="B58" t="s">
        <v>34</v>
      </c>
      <c r="C58">
        <f>SUM(C51:C57)</f>
        <v>34</v>
      </c>
      <c r="D58">
        <f>SUM(D51:D57)</f>
        <v>33</v>
      </c>
    </row>
    <row r="59" spans="1:36" s="5" customFormat="1" x14ac:dyDescent="0.35">
      <c r="B59" s="5" t="s">
        <v>69</v>
      </c>
      <c r="C59" s="5">
        <f>SUM(C23,C36,C18,C12)</f>
        <v>101</v>
      </c>
      <c r="D59" s="5">
        <f>SUM(D12,D18,D23,D36)</f>
        <v>26</v>
      </c>
    </row>
    <row r="60" spans="1:36" s="5" customFormat="1" x14ac:dyDescent="0.35">
      <c r="B60" s="5" t="s">
        <v>70</v>
      </c>
      <c r="C60" s="51">
        <f>C59*100</f>
        <v>10100</v>
      </c>
      <c r="D60" s="51">
        <f>D59*100</f>
        <v>2600</v>
      </c>
      <c r="E60" s="51"/>
      <c r="F60" s="51"/>
    </row>
  </sheetData>
  <conditionalFormatting sqref="C51:E57">
    <cfRule type="cellIs" dxfId="68" priority="1" operator="equal">
      <formula>$J$1</formula>
    </cfRule>
    <cfRule type="cellIs" dxfId="67" priority="2" operator="equal">
      <formula>$I$1</formula>
    </cfRule>
    <cfRule type="cellIs" dxfId="66" priority="3" operator="equal">
      <formula>$H$1</formula>
    </cfRule>
  </conditionalFormatting>
  <conditionalFormatting sqref="F3:F11">
    <cfRule type="cellIs" dxfId="65" priority="102" operator="equal">
      <formula>$H$1</formula>
    </cfRule>
    <cfRule type="cellIs" dxfId="64" priority="101" operator="equal">
      <formula>$I$1</formula>
    </cfRule>
    <cfRule type="cellIs" dxfId="63" priority="100" operator="equal">
      <formula>$J$1</formula>
    </cfRule>
  </conditionalFormatting>
  <conditionalFormatting sqref="F14:F17">
    <cfRule type="cellIs" dxfId="62" priority="123" operator="equal">
      <formula>$H$1</formula>
    </cfRule>
    <cfRule type="cellIs" dxfId="61" priority="122" operator="equal">
      <formula>$I$1</formula>
    </cfRule>
    <cfRule type="cellIs" dxfId="60" priority="121" operator="equal">
      <formula>$J$1</formula>
    </cfRule>
  </conditionalFormatting>
  <conditionalFormatting sqref="F20:F22">
    <cfRule type="cellIs" dxfId="59" priority="111" operator="equal">
      <formula>$H$1</formula>
    </cfRule>
    <cfRule type="cellIs" dxfId="58" priority="110" operator="equal">
      <formula>$I$1</formula>
    </cfRule>
    <cfRule type="cellIs" dxfId="57" priority="109" operator="equal">
      <formula>$J$1</formula>
    </cfRule>
  </conditionalFormatting>
  <conditionalFormatting sqref="F25:F35">
    <cfRule type="cellIs" dxfId="56" priority="93" operator="equal">
      <formula>$H$1</formula>
    </cfRule>
    <cfRule type="cellIs" dxfId="55" priority="92" operator="equal">
      <formula>$I$1</formula>
    </cfRule>
    <cfRule type="cellIs" dxfId="54" priority="91" operator="equal">
      <formula>$J$1</formula>
    </cfRule>
  </conditionalFormatting>
  <conditionalFormatting sqref="F38:F48">
    <cfRule type="cellIs" dxfId="53" priority="35" operator="equal">
      <formula>$I$1</formula>
    </cfRule>
    <cfRule type="cellIs" dxfId="52" priority="36" operator="equal">
      <formula>$H$1</formula>
    </cfRule>
    <cfRule type="cellIs" dxfId="51" priority="34" operator="equal">
      <formula>$J$1</formula>
    </cfRule>
  </conditionalFormatting>
  <conditionalFormatting sqref="F51:F57">
    <cfRule type="cellIs" dxfId="50" priority="16" operator="equal">
      <formula>$J$1</formula>
    </cfRule>
    <cfRule type="cellIs" dxfId="49" priority="17" operator="equal">
      <formula>$I$1</formula>
    </cfRule>
    <cfRule type="cellIs" dxfId="48" priority="18" operator="equal">
      <formula>$H$1</formula>
    </cfRule>
  </conditionalFormatting>
  <conditionalFormatting sqref="G3:BT3 K4:BT4 G4:H12 P5:BT5 K5:L11 P6:P11 U6:BT11 K12:BT12 G13:BT25 G26:AW26 AY26:BT30 G27:AU27 V28:AW28 G28:S33 V29:AA29 AD29:AY29 V29:W33 Z30:AY30 Z31:AD31 AH31:AU31 AZ31:BT33 Z32:AJ32 AN32:AU32 Z33:AP33 AR33:AU33">
    <cfRule type="cellIs" dxfId="47" priority="105" operator="equal">
      <formula>$H$1</formula>
    </cfRule>
    <cfRule type="cellIs" dxfId="46" priority="104" operator="equal">
      <formula>$I$1</formula>
    </cfRule>
  </conditionalFormatting>
  <conditionalFormatting sqref="G3:BT3 K4:BT4 U6:BT11 P5:BT5 G4:H12 K5:L11 P6:P11 K12:BT12 G13:BT25 G26:AW26 AY26:BT30 G27:AU27 V28:AW28 G28:S33 V29:AA29 AD29:AY29 V29:W33 Z30:AY30 Z31:AD31 AH31:AU31 AZ31:BT33 Z32:AJ32 AN32:AU32 Z33:AP33 AR33:AU33">
    <cfRule type="cellIs" dxfId="45" priority="103" operator="equal">
      <formula>$J$1</formula>
    </cfRule>
  </conditionalFormatting>
  <conditionalFormatting sqref="G37:BT46">
    <cfRule type="cellIs" dxfId="44" priority="37" operator="equal">
      <formula>$J$1</formula>
    </cfRule>
    <cfRule type="cellIs" dxfId="43" priority="38" operator="equal">
      <formula>$I$1</formula>
    </cfRule>
    <cfRule type="cellIs" dxfId="42" priority="39" operator="equal">
      <formula>$H$1</formula>
    </cfRule>
  </conditionalFormatting>
  <conditionalFormatting sqref="G50:BT57">
    <cfRule type="cellIs" dxfId="41" priority="21" operator="equal">
      <formula>$H$1</formula>
    </cfRule>
    <cfRule type="cellIs" dxfId="40" priority="19" operator="equal">
      <formula>$J$1</formula>
    </cfRule>
    <cfRule type="cellIs" dxfId="39" priority="20" operator="equal">
      <formula>$I$1</formula>
    </cfRule>
  </conditionalFormatting>
  <conditionalFormatting sqref="H3:J3">
    <cfRule type="cellIs" dxfId="38" priority="88" operator="equal">
      <formula>$J$1</formula>
    </cfRule>
    <cfRule type="cellIs" dxfId="37" priority="90" operator="equal">
      <formula>$H$1</formula>
    </cfRule>
    <cfRule type="cellIs" dxfId="36" priority="89" operator="equal">
      <formula>$I$1</formula>
    </cfRule>
  </conditionalFormatting>
  <conditionalFormatting sqref="K4:O4">
    <cfRule type="cellIs" dxfId="35" priority="86" operator="equal">
      <formula>$I$1</formula>
    </cfRule>
    <cfRule type="cellIs" dxfId="34" priority="85" operator="equal">
      <formula>$J$1</formula>
    </cfRule>
    <cfRule type="cellIs" dxfId="33" priority="87" operator="equal">
      <formula>$H$1</formula>
    </cfRule>
  </conditionalFormatting>
  <conditionalFormatting sqref="P5:T5">
    <cfRule type="cellIs" dxfId="32" priority="79" operator="equal">
      <formula>$J$1</formula>
    </cfRule>
    <cfRule type="cellIs" dxfId="31" priority="80" operator="equal">
      <formula>$I$1</formula>
    </cfRule>
    <cfRule type="cellIs" dxfId="30" priority="81" operator="equal">
      <formula>$H$1</formula>
    </cfRule>
  </conditionalFormatting>
  <conditionalFormatting sqref="U6">
    <cfRule type="cellIs" dxfId="29" priority="82" operator="equal">
      <formula>$J$1</formula>
    </cfRule>
    <cfRule type="cellIs" dxfId="28" priority="83" operator="equal">
      <formula>$I$1</formula>
    </cfRule>
    <cfRule type="cellIs" dxfId="27" priority="84" operator="equal">
      <formula>$H$1</formula>
    </cfRule>
  </conditionalFormatting>
  <conditionalFormatting sqref="V7:X7">
    <cfRule type="cellIs" dxfId="26" priority="77" operator="equal">
      <formula>$I$1</formula>
    </cfRule>
    <cfRule type="cellIs" dxfId="25" priority="76" operator="equal">
      <formula>$J$1</formula>
    </cfRule>
    <cfRule type="cellIs" dxfId="24" priority="78" operator="equal">
      <formula>$H$1</formula>
    </cfRule>
  </conditionalFormatting>
  <conditionalFormatting sqref="Y8:AA8">
    <cfRule type="cellIs" dxfId="23" priority="73" operator="equal">
      <formula>$J$1</formula>
    </cfRule>
    <cfRule type="cellIs" dxfId="22" priority="75" operator="equal">
      <formula>$H$1</formula>
    </cfRule>
    <cfRule type="cellIs" dxfId="21" priority="74" operator="equal">
      <formula>$I$1</formula>
    </cfRule>
  </conditionalFormatting>
  <conditionalFormatting sqref="AB9:AE9">
    <cfRule type="cellIs" dxfId="20" priority="70" operator="equal">
      <formula>$J$1</formula>
    </cfRule>
    <cfRule type="cellIs" dxfId="19" priority="72" operator="equal">
      <formula>$H$1</formula>
    </cfRule>
    <cfRule type="cellIs" dxfId="18" priority="71" operator="equal">
      <formula>$I$1</formula>
    </cfRule>
  </conditionalFormatting>
  <conditionalFormatting sqref="AF10:AR10">
    <cfRule type="cellIs" dxfId="17" priority="69" operator="equal">
      <formula>$H$1</formula>
    </cfRule>
    <cfRule type="cellIs" dxfId="16" priority="68" operator="equal">
      <formula>$I$1</formula>
    </cfRule>
    <cfRule type="cellIs" dxfId="15" priority="67" operator="equal">
      <formula>$J$1</formula>
    </cfRule>
  </conditionalFormatting>
  <conditionalFormatting sqref="AQ34:AR34">
    <cfRule type="cellIs" dxfId="14" priority="51" operator="equal">
      <formula>$H$1</formula>
    </cfRule>
    <cfRule type="cellIs" dxfId="13" priority="50" operator="equal">
      <formula>$I$1</formula>
    </cfRule>
    <cfRule type="cellIs" dxfId="12" priority="49" operator="equal">
      <formula>$J$1</formula>
    </cfRule>
  </conditionalFormatting>
  <conditionalFormatting sqref="AS11">
    <cfRule type="cellIs" dxfId="11" priority="63" operator="equal">
      <formula>$H$1</formula>
    </cfRule>
    <cfRule type="cellIs" dxfId="10" priority="62" operator="equal">
      <formula>$I$1</formula>
    </cfRule>
    <cfRule type="cellIs" dxfId="9" priority="61" operator="equal">
      <formula>$J$1</formula>
    </cfRule>
  </conditionalFormatting>
  <conditionalFormatting sqref="AS35:AV35">
    <cfRule type="cellIs" dxfId="8" priority="47" operator="equal">
      <formula>$I$1</formula>
    </cfRule>
    <cfRule type="cellIs" dxfId="7" priority="46" operator="equal">
      <formula>$J$1</formula>
    </cfRule>
    <cfRule type="cellIs" dxfId="6" priority="48" operator="equal">
      <formula>$H$1</formula>
    </cfRule>
  </conditionalFormatting>
  <conditionalFormatting sqref="AU47:AV47">
    <cfRule type="cellIs" dxfId="5" priority="31" operator="equal">
      <formula>$J$1</formula>
    </cfRule>
    <cfRule type="cellIs" dxfId="4" priority="32" operator="equal">
      <formula>$I$1</formula>
    </cfRule>
    <cfRule type="cellIs" dxfId="3" priority="33" operator="equal">
      <formula>$H$1</formula>
    </cfRule>
  </conditionalFormatting>
  <conditionalFormatting sqref="AW48:AX48">
    <cfRule type="cellIs" dxfId="2" priority="28" operator="equal">
      <formula>$J$1</formula>
    </cfRule>
    <cfRule type="cellIs" dxfId="1" priority="29" operator="equal">
      <formula>$I$1</formula>
    </cfRule>
    <cfRule type="cellIs" dxfId="0" priority="30" operator="equal">
      <formula>$H$1</formula>
    </cfRule>
  </conditionalFormatting>
  <dataValidations count="1">
    <dataValidation type="list" allowBlank="1" showInputMessage="1" showErrorMessage="1" sqref="F51:F57 F20:F22 F14:F17 F3:F11 F25:F35 F38:F48" xr:uid="{00000000-0002-0000-0100-000000000000}">
      <formula1>$H$1:$J$1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4CBF-61D6-4A1A-B020-D6E50DA2B9D6}">
  <dimension ref="A1:T27"/>
  <sheetViews>
    <sheetView workbookViewId="0">
      <selection activeCell="H19" sqref="H19"/>
    </sheetView>
  </sheetViews>
  <sheetFormatPr defaultRowHeight="14.5" x14ac:dyDescent="0.35"/>
  <sheetData>
    <row r="1" spans="1:20" x14ac:dyDescent="0.35">
      <c r="A1" s="52"/>
      <c r="B1" s="52"/>
      <c r="C1" s="52"/>
      <c r="D1" s="52"/>
      <c r="E1" s="52"/>
      <c r="F1" s="52"/>
      <c r="G1" s="52"/>
      <c r="H1" s="52"/>
      <c r="I1" s="52"/>
      <c r="J1" s="52"/>
      <c r="K1" s="52"/>
      <c r="L1" s="52"/>
      <c r="M1" s="52"/>
      <c r="N1" s="52"/>
      <c r="O1" s="52"/>
      <c r="P1" s="52"/>
      <c r="Q1" s="52"/>
      <c r="R1" s="52"/>
      <c r="S1" s="52"/>
      <c r="T1" s="52"/>
    </row>
    <row r="2" spans="1:20" x14ac:dyDescent="0.35">
      <c r="A2" s="52"/>
      <c r="B2" s="73" t="s">
        <v>71</v>
      </c>
      <c r="C2" s="74"/>
      <c r="D2" s="75"/>
      <c r="E2" s="74" t="s">
        <v>72</v>
      </c>
      <c r="F2" s="74"/>
      <c r="G2" s="75"/>
      <c r="H2" s="74" t="s">
        <v>73</v>
      </c>
      <c r="I2" s="74"/>
      <c r="J2" s="75"/>
      <c r="K2" s="74" t="s">
        <v>74</v>
      </c>
      <c r="L2" s="74"/>
      <c r="M2" s="75"/>
      <c r="N2" s="74" t="s">
        <v>75</v>
      </c>
      <c r="O2" s="74"/>
      <c r="P2" s="75"/>
      <c r="Q2" s="74" t="s">
        <v>76</v>
      </c>
      <c r="R2" s="74"/>
      <c r="S2" s="75"/>
      <c r="T2" s="52"/>
    </row>
    <row r="3" spans="1:20" x14ac:dyDescent="0.35">
      <c r="A3" s="52"/>
      <c r="B3" s="76" t="s">
        <v>77</v>
      </c>
      <c r="C3" s="71"/>
      <c r="D3" s="72"/>
      <c r="E3" s="71" t="s">
        <v>78</v>
      </c>
      <c r="F3" s="71"/>
      <c r="G3" s="72"/>
      <c r="H3" s="71" t="s">
        <v>79</v>
      </c>
      <c r="I3" s="71"/>
      <c r="J3" s="72"/>
      <c r="K3" s="71" t="s">
        <v>80</v>
      </c>
      <c r="L3" s="71"/>
      <c r="M3" s="72"/>
      <c r="N3" s="71" t="s">
        <v>81</v>
      </c>
      <c r="O3" s="71"/>
      <c r="P3" s="72"/>
      <c r="Q3" s="71" t="s">
        <v>82</v>
      </c>
      <c r="R3" s="71"/>
      <c r="S3" s="72"/>
      <c r="T3" s="52"/>
    </row>
    <row r="4" spans="1:20" x14ac:dyDescent="0.35">
      <c r="A4" s="52"/>
      <c r="B4" s="83" t="s">
        <v>83</v>
      </c>
      <c r="C4" s="84"/>
      <c r="D4" s="85"/>
      <c r="E4" s="83" t="s">
        <v>84</v>
      </c>
      <c r="F4" s="84"/>
      <c r="G4" s="85"/>
      <c r="H4" s="83"/>
      <c r="I4" s="84"/>
      <c r="J4" s="85"/>
      <c r="K4" s="84" t="s">
        <v>85</v>
      </c>
      <c r="L4" s="84"/>
      <c r="M4" s="85"/>
      <c r="N4" s="88"/>
      <c r="O4" s="88"/>
      <c r="P4" s="89"/>
      <c r="Q4" s="90"/>
      <c r="R4" s="77"/>
      <c r="S4" s="91"/>
      <c r="T4" s="52"/>
    </row>
    <row r="5" spans="1:20" x14ac:dyDescent="0.35">
      <c r="A5" s="52"/>
      <c r="B5" s="86"/>
      <c r="C5" s="67"/>
      <c r="D5" s="68"/>
      <c r="E5" s="86"/>
      <c r="F5" s="67"/>
      <c r="G5" s="68"/>
      <c r="H5" s="86"/>
      <c r="I5" s="67"/>
      <c r="J5" s="68"/>
      <c r="K5" s="67" t="s">
        <v>86</v>
      </c>
      <c r="L5" s="67"/>
      <c r="M5" s="68"/>
      <c r="N5" s="69" t="s">
        <v>87</v>
      </c>
      <c r="O5" s="69"/>
      <c r="P5" s="70"/>
      <c r="Q5" s="92"/>
      <c r="R5" s="93"/>
      <c r="S5" s="94"/>
      <c r="T5" s="52"/>
    </row>
    <row r="6" spans="1:20" x14ac:dyDescent="0.35">
      <c r="A6" s="52"/>
      <c r="B6" s="86"/>
      <c r="C6" s="67"/>
      <c r="D6" s="68"/>
      <c r="E6" s="86"/>
      <c r="F6" s="67"/>
      <c r="G6" s="68"/>
      <c r="H6" s="86"/>
      <c r="I6" s="67"/>
      <c r="J6" s="68"/>
      <c r="K6" s="67" t="s">
        <v>88</v>
      </c>
      <c r="L6" s="67"/>
      <c r="M6" s="68"/>
      <c r="N6" s="69" t="s">
        <v>89</v>
      </c>
      <c r="O6" s="69"/>
      <c r="P6" s="70"/>
      <c r="Q6" s="92"/>
      <c r="R6" s="93"/>
      <c r="S6" s="94"/>
      <c r="T6" s="52"/>
    </row>
    <row r="7" spans="1:20" x14ac:dyDescent="0.35">
      <c r="A7" s="52"/>
      <c r="B7" s="86"/>
      <c r="C7" s="67"/>
      <c r="D7" s="68"/>
      <c r="E7" s="86"/>
      <c r="F7" s="67"/>
      <c r="G7" s="68"/>
      <c r="H7" s="86"/>
      <c r="I7" s="67"/>
      <c r="J7" s="68"/>
      <c r="K7" s="67" t="s">
        <v>90</v>
      </c>
      <c r="L7" s="67"/>
      <c r="M7" s="68"/>
      <c r="N7" s="69" t="s">
        <v>88</v>
      </c>
      <c r="O7" s="69"/>
      <c r="P7" s="70"/>
      <c r="Q7" s="92"/>
      <c r="R7" s="93"/>
      <c r="S7" s="94"/>
      <c r="T7" s="52"/>
    </row>
    <row r="8" spans="1:20" x14ac:dyDescent="0.35">
      <c r="A8" s="52"/>
      <c r="B8" s="86"/>
      <c r="C8" s="67"/>
      <c r="D8" s="68"/>
      <c r="E8" s="86"/>
      <c r="F8" s="67"/>
      <c r="G8" s="68"/>
      <c r="H8" s="86"/>
      <c r="I8" s="67"/>
      <c r="J8" s="68"/>
      <c r="K8" s="67" t="s">
        <v>91</v>
      </c>
      <c r="L8" s="67"/>
      <c r="M8" s="68"/>
      <c r="N8" s="69" t="s">
        <v>88</v>
      </c>
      <c r="O8" s="69"/>
      <c r="P8" s="70"/>
      <c r="Q8" s="92"/>
      <c r="R8" s="93"/>
      <c r="S8" s="94"/>
      <c r="T8" s="52"/>
    </row>
    <row r="9" spans="1:20" x14ac:dyDescent="0.35">
      <c r="A9" s="52"/>
      <c r="B9" s="86"/>
      <c r="C9" s="67"/>
      <c r="D9" s="68"/>
      <c r="E9" s="86"/>
      <c r="F9" s="67"/>
      <c r="G9" s="68"/>
      <c r="H9" s="86"/>
      <c r="I9" s="67"/>
      <c r="J9" s="68"/>
      <c r="K9" s="67" t="s">
        <v>92</v>
      </c>
      <c r="L9" s="67"/>
      <c r="M9" s="68"/>
      <c r="N9" s="69" t="s">
        <v>88</v>
      </c>
      <c r="O9" s="69"/>
      <c r="P9" s="70"/>
      <c r="Q9" s="92"/>
      <c r="R9" s="93"/>
      <c r="S9" s="94"/>
      <c r="T9" s="52"/>
    </row>
    <row r="10" spans="1:20" x14ac:dyDescent="0.35">
      <c r="A10" s="52"/>
      <c r="B10" s="86"/>
      <c r="C10" s="67"/>
      <c r="D10" s="68"/>
      <c r="E10" s="86"/>
      <c r="F10" s="67"/>
      <c r="G10" s="68"/>
      <c r="H10" s="86"/>
      <c r="I10" s="67"/>
      <c r="J10" s="68"/>
      <c r="K10" s="67" t="s">
        <v>88</v>
      </c>
      <c r="L10" s="67"/>
      <c r="M10" s="68"/>
      <c r="N10" s="69" t="s">
        <v>88</v>
      </c>
      <c r="O10" s="69"/>
      <c r="P10" s="70"/>
      <c r="Q10" s="92"/>
      <c r="R10" s="93"/>
      <c r="S10" s="94"/>
      <c r="T10" s="52"/>
    </row>
    <row r="11" spans="1:20" x14ac:dyDescent="0.35">
      <c r="A11" s="52"/>
      <c r="B11" s="86"/>
      <c r="C11" s="67"/>
      <c r="D11" s="68"/>
      <c r="E11" s="86"/>
      <c r="F11" s="67"/>
      <c r="G11" s="68"/>
      <c r="H11" s="86"/>
      <c r="I11" s="67"/>
      <c r="J11" s="68"/>
      <c r="K11" s="67" t="s">
        <v>88</v>
      </c>
      <c r="L11" s="67"/>
      <c r="M11" s="68"/>
      <c r="N11" s="69" t="s">
        <v>88</v>
      </c>
      <c r="O11" s="69"/>
      <c r="P11" s="70"/>
      <c r="Q11" s="92"/>
      <c r="R11" s="93"/>
      <c r="S11" s="94"/>
      <c r="T11" s="52"/>
    </row>
    <row r="12" spans="1:20" x14ac:dyDescent="0.35">
      <c r="A12" s="52"/>
      <c r="B12" s="86"/>
      <c r="C12" s="67"/>
      <c r="D12" s="68"/>
      <c r="E12" s="86"/>
      <c r="F12" s="67"/>
      <c r="G12" s="68"/>
      <c r="H12" s="86"/>
      <c r="I12" s="67"/>
      <c r="J12" s="68"/>
      <c r="K12" s="67" t="s">
        <v>88</v>
      </c>
      <c r="L12" s="67"/>
      <c r="M12" s="68"/>
      <c r="N12" s="69" t="s">
        <v>88</v>
      </c>
      <c r="O12" s="69"/>
      <c r="P12" s="70"/>
      <c r="Q12" s="92"/>
      <c r="R12" s="93"/>
      <c r="S12" s="94"/>
      <c r="T12" s="52"/>
    </row>
    <row r="13" spans="1:20" x14ac:dyDescent="0.35">
      <c r="A13" s="52"/>
      <c r="B13" s="86"/>
      <c r="C13" s="67"/>
      <c r="D13" s="68"/>
      <c r="E13" s="86"/>
      <c r="F13" s="67"/>
      <c r="G13" s="68"/>
      <c r="H13" s="86"/>
      <c r="I13" s="67"/>
      <c r="J13" s="68"/>
      <c r="K13" s="67" t="s">
        <v>88</v>
      </c>
      <c r="L13" s="67"/>
      <c r="M13" s="68"/>
      <c r="N13" s="69" t="s">
        <v>88</v>
      </c>
      <c r="O13" s="69"/>
      <c r="P13" s="70"/>
      <c r="Q13" s="92"/>
      <c r="R13" s="93"/>
      <c r="S13" s="94"/>
      <c r="T13" s="52"/>
    </row>
    <row r="14" spans="1:20" x14ac:dyDescent="0.35">
      <c r="A14" s="52"/>
      <c r="B14" s="87"/>
      <c r="C14" s="79"/>
      <c r="D14" s="80"/>
      <c r="E14" s="87"/>
      <c r="F14" s="79"/>
      <c r="G14" s="80"/>
      <c r="H14" s="87"/>
      <c r="I14" s="79"/>
      <c r="J14" s="80"/>
      <c r="K14" s="79" t="s">
        <v>88</v>
      </c>
      <c r="L14" s="79"/>
      <c r="M14" s="80"/>
      <c r="N14" s="81" t="s">
        <v>88</v>
      </c>
      <c r="O14" s="81"/>
      <c r="P14" s="82"/>
      <c r="Q14" s="95"/>
      <c r="R14" s="96"/>
      <c r="S14" s="97"/>
      <c r="T14" s="52"/>
    </row>
    <row r="15" spans="1:20" x14ac:dyDescent="0.35">
      <c r="A15" s="52"/>
      <c r="B15" s="77" t="s">
        <v>93</v>
      </c>
      <c r="C15" s="77"/>
      <c r="D15" s="77"/>
      <c r="E15" s="77"/>
      <c r="F15" s="77"/>
      <c r="G15" s="77"/>
      <c r="H15" s="77"/>
      <c r="I15" s="77"/>
      <c r="J15" s="77"/>
      <c r="K15" s="52"/>
      <c r="L15" s="52"/>
      <c r="M15" s="52"/>
      <c r="N15" s="52"/>
      <c r="O15" s="52"/>
      <c r="P15" s="52"/>
      <c r="Q15" s="52"/>
      <c r="R15" s="52"/>
      <c r="S15" s="52"/>
      <c r="T15" s="52"/>
    </row>
    <row r="16" spans="1:20" x14ac:dyDescent="0.35">
      <c r="A16" s="52"/>
      <c r="B16" s="52"/>
      <c r="C16" s="52"/>
      <c r="D16" s="52"/>
      <c r="E16" s="52"/>
      <c r="F16" s="52"/>
      <c r="G16" s="52"/>
      <c r="H16" s="52"/>
      <c r="I16" s="52"/>
      <c r="J16" s="52"/>
      <c r="K16" s="52"/>
      <c r="L16" s="52"/>
      <c r="M16" s="52"/>
      <c r="N16" s="52"/>
      <c r="O16" s="52"/>
      <c r="P16" s="52"/>
      <c r="Q16" s="52"/>
      <c r="R16" s="52"/>
      <c r="S16" s="52"/>
      <c r="T16" s="52"/>
    </row>
    <row r="17" spans="1:20" x14ac:dyDescent="0.35">
      <c r="A17" s="52"/>
      <c r="B17" s="52"/>
      <c r="C17" s="52"/>
      <c r="D17" s="52"/>
      <c r="E17" s="52"/>
      <c r="F17" s="52"/>
      <c r="G17" s="52"/>
      <c r="H17" s="52"/>
      <c r="I17" s="52"/>
      <c r="J17" s="52"/>
      <c r="K17" s="52"/>
      <c r="L17" s="52"/>
      <c r="M17" s="52"/>
      <c r="N17" s="52"/>
      <c r="O17" s="52"/>
      <c r="P17" s="52"/>
      <c r="Q17" s="52"/>
      <c r="R17" s="52"/>
      <c r="S17" s="52"/>
      <c r="T17" s="52"/>
    </row>
    <row r="18" spans="1:20" x14ac:dyDescent="0.35">
      <c r="A18" s="52"/>
      <c r="B18" s="78" t="s">
        <v>94</v>
      </c>
      <c r="C18" s="78"/>
      <c r="D18" s="78"/>
      <c r="E18" s="78"/>
      <c r="F18" s="78"/>
      <c r="G18" s="78"/>
      <c r="H18" s="78"/>
      <c r="I18" s="78"/>
      <c r="J18" s="52"/>
      <c r="K18" s="52"/>
      <c r="L18" s="52"/>
      <c r="M18" s="52"/>
      <c r="N18" s="52"/>
      <c r="O18" s="52"/>
      <c r="P18" s="52"/>
      <c r="Q18" s="52"/>
      <c r="R18" s="52"/>
      <c r="S18" s="52"/>
      <c r="T18" s="52"/>
    </row>
    <row r="19" spans="1:20" x14ac:dyDescent="0.35">
      <c r="A19" s="52"/>
      <c r="B19" s="52"/>
      <c r="C19" s="54" t="s">
        <v>88</v>
      </c>
      <c r="D19" s="55" t="s">
        <v>88</v>
      </c>
      <c r="E19" s="55" t="s">
        <v>88</v>
      </c>
      <c r="F19" s="55" t="s">
        <v>88</v>
      </c>
      <c r="G19" s="55" t="s">
        <v>88</v>
      </c>
      <c r="H19" s="55" t="s">
        <v>88</v>
      </c>
      <c r="I19" s="52"/>
      <c r="J19" s="52"/>
      <c r="K19" s="52"/>
      <c r="L19" s="52"/>
      <c r="M19" s="52"/>
      <c r="N19" s="52"/>
      <c r="O19" s="52"/>
      <c r="P19" s="52"/>
      <c r="Q19" s="52"/>
      <c r="R19" s="52"/>
      <c r="S19" s="52"/>
      <c r="T19" s="52"/>
    </row>
    <row r="20" spans="1:20" x14ac:dyDescent="0.35">
      <c r="A20" s="52"/>
      <c r="B20" s="53"/>
      <c r="C20" s="56" t="s">
        <v>23</v>
      </c>
      <c r="D20" s="57" t="s">
        <v>35</v>
      </c>
      <c r="E20" s="57" t="s">
        <v>36</v>
      </c>
      <c r="F20" s="57" t="s">
        <v>95</v>
      </c>
      <c r="G20" s="57" t="s">
        <v>51</v>
      </c>
      <c r="H20" s="57" t="s">
        <v>62</v>
      </c>
      <c r="I20" s="52"/>
      <c r="J20" s="52"/>
      <c r="K20" s="52"/>
      <c r="L20" s="52"/>
      <c r="M20" s="52"/>
      <c r="N20" s="52"/>
      <c r="O20" s="52"/>
      <c r="P20" s="52"/>
      <c r="Q20" s="52"/>
      <c r="R20" s="52"/>
      <c r="S20" s="52"/>
    </row>
    <row r="21" spans="1:20" x14ac:dyDescent="0.35">
      <c r="A21" s="52"/>
      <c r="B21" s="58" t="s">
        <v>96</v>
      </c>
      <c r="C21" s="59"/>
      <c r="D21" s="59"/>
      <c r="E21" s="59"/>
      <c r="F21" s="59"/>
      <c r="G21" s="59"/>
      <c r="H21" s="59"/>
      <c r="I21" s="52"/>
      <c r="J21" s="52"/>
      <c r="K21" s="52"/>
      <c r="L21" s="52"/>
      <c r="M21" s="52"/>
      <c r="N21" s="52"/>
      <c r="O21" s="52"/>
      <c r="P21" s="52"/>
      <c r="Q21" s="52"/>
      <c r="R21" s="52"/>
      <c r="S21" s="52"/>
    </row>
    <row r="22" spans="1:20" x14ac:dyDescent="0.35">
      <c r="A22" s="52"/>
      <c r="B22" s="56" t="s">
        <v>97</v>
      </c>
      <c r="C22" s="59"/>
      <c r="D22" s="59" t="s">
        <v>98</v>
      </c>
      <c r="E22" s="59"/>
      <c r="F22" s="59"/>
      <c r="G22" s="59"/>
      <c r="H22" s="59"/>
      <c r="I22" s="52"/>
      <c r="J22" s="52"/>
      <c r="K22" s="52"/>
      <c r="L22" s="52"/>
      <c r="M22" s="52"/>
      <c r="N22" s="52"/>
      <c r="O22" s="52"/>
      <c r="P22" s="52"/>
      <c r="Q22" s="52"/>
      <c r="R22" s="52"/>
      <c r="S22" s="52"/>
    </row>
    <row r="23" spans="1:20" x14ac:dyDescent="0.35">
      <c r="A23" s="52"/>
      <c r="B23" s="56" t="s">
        <v>99</v>
      </c>
      <c r="C23" s="59"/>
      <c r="D23" s="59"/>
      <c r="E23" s="59"/>
      <c r="F23" s="59"/>
      <c r="G23" s="59"/>
      <c r="H23" s="59"/>
      <c r="I23" s="52"/>
      <c r="J23" s="52"/>
      <c r="K23" s="52"/>
      <c r="L23" s="52"/>
      <c r="M23" s="52"/>
      <c r="N23" s="52"/>
      <c r="O23" s="52"/>
      <c r="P23" s="52"/>
      <c r="Q23" s="52"/>
      <c r="R23" s="52"/>
      <c r="S23" s="52"/>
    </row>
    <row r="24" spans="1:20" x14ac:dyDescent="0.35">
      <c r="A24" s="52"/>
      <c r="B24" s="56" t="s">
        <v>100</v>
      </c>
      <c r="C24" s="59"/>
      <c r="D24" s="59"/>
      <c r="E24" s="59"/>
      <c r="F24" s="59" t="s">
        <v>98</v>
      </c>
      <c r="G24" s="59"/>
      <c r="H24" s="59"/>
      <c r="I24" s="52"/>
      <c r="J24" s="52"/>
      <c r="K24" s="52"/>
      <c r="L24" s="52"/>
      <c r="M24" s="52"/>
      <c r="N24" s="52"/>
      <c r="O24" s="52"/>
      <c r="P24" s="52"/>
      <c r="Q24" s="52"/>
      <c r="R24" s="52"/>
      <c r="S24" s="52"/>
    </row>
    <row r="25" spans="1:20" x14ac:dyDescent="0.35">
      <c r="A25" s="52"/>
      <c r="B25" s="56" t="s">
        <v>101</v>
      </c>
      <c r="C25" s="59"/>
      <c r="D25" s="59"/>
      <c r="E25" s="59"/>
      <c r="F25" s="59"/>
      <c r="G25" s="59"/>
      <c r="H25" s="59"/>
      <c r="I25" s="52"/>
      <c r="J25" s="52"/>
      <c r="K25" s="52"/>
      <c r="L25" s="52"/>
      <c r="M25" s="52"/>
      <c r="N25" s="52"/>
      <c r="O25" s="52"/>
      <c r="P25" s="52"/>
      <c r="Q25" s="52"/>
      <c r="R25" s="52"/>
      <c r="S25" s="52"/>
    </row>
    <row r="26" spans="1:20" x14ac:dyDescent="0.35">
      <c r="A26" s="52"/>
      <c r="B26" s="56" t="s">
        <v>102</v>
      </c>
      <c r="C26" s="59"/>
      <c r="D26" s="59"/>
      <c r="E26" s="59"/>
      <c r="F26" s="59"/>
      <c r="G26" s="59"/>
      <c r="H26" s="59"/>
      <c r="I26" s="52"/>
      <c r="J26" s="52"/>
      <c r="K26" s="52"/>
      <c r="L26" s="52"/>
      <c r="M26" s="52"/>
      <c r="N26" s="52"/>
      <c r="O26" s="52"/>
      <c r="P26" s="52"/>
      <c r="Q26" s="52"/>
      <c r="R26" s="52"/>
      <c r="S26" s="52"/>
    </row>
    <row r="27" spans="1:20" x14ac:dyDescent="0.35">
      <c r="A27" s="52"/>
    </row>
  </sheetData>
  <mergeCells count="40">
    <mergeCell ref="K10:M10"/>
    <mergeCell ref="N10:P10"/>
    <mergeCell ref="K7:M7"/>
    <mergeCell ref="N7:P7"/>
    <mergeCell ref="K8:M8"/>
    <mergeCell ref="N8:P8"/>
    <mergeCell ref="K9:M9"/>
    <mergeCell ref="N9:P9"/>
    <mergeCell ref="B15:J15"/>
    <mergeCell ref="B18:I18"/>
    <mergeCell ref="K13:M13"/>
    <mergeCell ref="N13:P13"/>
    <mergeCell ref="K14:M14"/>
    <mergeCell ref="N14:P14"/>
    <mergeCell ref="B4:D14"/>
    <mergeCell ref="E4:G14"/>
    <mergeCell ref="N4:P4"/>
    <mergeCell ref="K5:M5"/>
    <mergeCell ref="N5:P5"/>
    <mergeCell ref="H4:J14"/>
    <mergeCell ref="K4:M4"/>
    <mergeCell ref="K12:M12"/>
    <mergeCell ref="N12:P12"/>
    <mergeCell ref="K6:M6"/>
    <mergeCell ref="K11:M11"/>
    <mergeCell ref="N11:P11"/>
    <mergeCell ref="Q3:S3"/>
    <mergeCell ref="B2:D2"/>
    <mergeCell ref="E2:G2"/>
    <mergeCell ref="H2:J2"/>
    <mergeCell ref="K2:M2"/>
    <mergeCell ref="N2:P2"/>
    <mergeCell ref="Q2:S2"/>
    <mergeCell ref="B3:D3"/>
    <mergeCell ref="E3:G3"/>
    <mergeCell ref="H3:J3"/>
    <mergeCell ref="K3:M3"/>
    <mergeCell ref="N3:P3"/>
    <mergeCell ref="Q4:S14"/>
    <mergeCell ref="N6:P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I7" sqref="I7"/>
    </sheetView>
  </sheetViews>
  <sheetFormatPr defaultRowHeight="14.5" x14ac:dyDescent="0.35"/>
  <sheetData>
    <row r="1" spans="1:12" x14ac:dyDescent="0.35">
      <c r="B1" s="5" t="s">
        <v>103</v>
      </c>
      <c r="C1" s="5" t="s">
        <v>104</v>
      </c>
      <c r="D1" s="5" t="s">
        <v>105</v>
      </c>
      <c r="E1" s="5" t="s">
        <v>106</v>
      </c>
      <c r="F1" s="5" t="s">
        <v>107</v>
      </c>
      <c r="G1" s="5" t="s">
        <v>108</v>
      </c>
      <c r="H1" s="5" t="s">
        <v>109</v>
      </c>
      <c r="I1" s="5" t="s">
        <v>110</v>
      </c>
      <c r="J1" s="5" t="s">
        <v>111</v>
      </c>
      <c r="K1" s="5" t="s">
        <v>112</v>
      </c>
      <c r="L1" s="5" t="s">
        <v>113</v>
      </c>
    </row>
    <row r="2" spans="1:12" ht="62.25" customHeight="1" x14ac:dyDescent="0.35">
      <c r="B2" s="5" t="s">
        <v>114</v>
      </c>
      <c r="C2" s="6" t="s">
        <v>115</v>
      </c>
      <c r="D2" s="6" t="s">
        <v>116</v>
      </c>
      <c r="E2" s="6" t="s">
        <v>117</v>
      </c>
      <c r="F2" s="6" t="s">
        <v>118</v>
      </c>
      <c r="G2" s="6" t="s">
        <v>119</v>
      </c>
      <c r="H2" s="6" t="s">
        <v>119</v>
      </c>
      <c r="I2" s="6" t="s">
        <v>119</v>
      </c>
      <c r="J2" s="6" t="s">
        <v>120</v>
      </c>
      <c r="K2" s="6" t="s">
        <v>121</v>
      </c>
      <c r="L2" s="6" t="s">
        <v>122</v>
      </c>
    </row>
    <row r="3" spans="1:12" x14ac:dyDescent="0.35">
      <c r="B3" s="5" t="s">
        <v>123</v>
      </c>
      <c r="C3" s="5">
        <v>1</v>
      </c>
      <c r="D3" s="5">
        <v>4</v>
      </c>
      <c r="E3" s="5">
        <v>2</v>
      </c>
      <c r="F3" s="5">
        <v>2</v>
      </c>
      <c r="G3" s="5">
        <v>2</v>
      </c>
      <c r="H3" s="5">
        <v>2</v>
      </c>
      <c r="I3" s="5">
        <v>2</v>
      </c>
      <c r="J3" s="5">
        <v>6</v>
      </c>
      <c r="K3" s="5">
        <v>1</v>
      </c>
      <c r="L3" s="5">
        <v>8</v>
      </c>
    </row>
    <row r="4" spans="1:12" x14ac:dyDescent="0.35">
      <c r="A4" s="5" t="s">
        <v>23</v>
      </c>
      <c r="B4" s="5">
        <f t="shared" ref="B4:B9" si="0">SUMIF(C4:L4,A$12,C$3:Z$3)</f>
        <v>21</v>
      </c>
      <c r="C4" s="4" t="s">
        <v>98</v>
      </c>
      <c r="D4" s="4" t="s">
        <v>98</v>
      </c>
      <c r="E4" s="4" t="s">
        <v>98</v>
      </c>
      <c r="F4" s="4" t="s">
        <v>98</v>
      </c>
      <c r="G4" s="4" t="s">
        <v>98</v>
      </c>
      <c r="H4" s="4" t="s">
        <v>98</v>
      </c>
      <c r="I4" s="4" t="s">
        <v>98</v>
      </c>
      <c r="J4" s="4" t="s">
        <v>98</v>
      </c>
    </row>
    <row r="5" spans="1:12" x14ac:dyDescent="0.35">
      <c r="A5" s="5" t="s">
        <v>35</v>
      </c>
      <c r="B5" s="5">
        <f t="shared" si="0"/>
        <v>9</v>
      </c>
      <c r="C5" s="4" t="s">
        <v>98</v>
      </c>
      <c r="D5" s="4" t="s">
        <v>98</v>
      </c>
      <c r="F5" s="4" t="s">
        <v>98</v>
      </c>
      <c r="G5" s="4" t="s">
        <v>98</v>
      </c>
    </row>
    <row r="6" spans="1:12" x14ac:dyDescent="0.35">
      <c r="A6" s="5" t="s">
        <v>36</v>
      </c>
      <c r="B6" s="5">
        <f t="shared" si="0"/>
        <v>11</v>
      </c>
      <c r="C6" s="4" t="s">
        <v>98</v>
      </c>
      <c r="D6" s="4" t="s">
        <v>98</v>
      </c>
      <c r="E6" s="4" t="s">
        <v>98</v>
      </c>
      <c r="F6" s="4" t="s">
        <v>98</v>
      </c>
      <c r="G6" s="4"/>
      <c r="H6" s="4" t="s">
        <v>98</v>
      </c>
      <c r="I6" s="4"/>
    </row>
    <row r="7" spans="1:12" x14ac:dyDescent="0.35">
      <c r="A7" s="5" t="s">
        <v>95</v>
      </c>
      <c r="B7" s="5">
        <f t="shared" si="0"/>
        <v>15</v>
      </c>
      <c r="C7" s="4" t="s">
        <v>98</v>
      </c>
      <c r="D7" s="4" t="s">
        <v>98</v>
      </c>
      <c r="E7" s="4" t="s">
        <v>98</v>
      </c>
      <c r="F7" s="4" t="s">
        <v>98</v>
      </c>
      <c r="G7" s="4" t="s">
        <v>98</v>
      </c>
      <c r="H7" s="4" t="s">
        <v>98</v>
      </c>
      <c r="I7" s="4" t="s">
        <v>98</v>
      </c>
    </row>
    <row r="8" spans="1:12" x14ac:dyDescent="0.35">
      <c r="A8" s="5" t="s">
        <v>51</v>
      </c>
      <c r="B8" s="5">
        <f t="shared" si="0"/>
        <v>9</v>
      </c>
      <c r="C8" s="4" t="s">
        <v>98</v>
      </c>
      <c r="D8" s="4" t="s">
        <v>98</v>
      </c>
      <c r="E8" s="4" t="s">
        <v>98</v>
      </c>
      <c r="F8" s="4" t="s">
        <v>98</v>
      </c>
      <c r="G8" s="4"/>
      <c r="H8" s="4"/>
    </row>
    <row r="9" spans="1:12" x14ac:dyDescent="0.35">
      <c r="A9" s="5" t="s">
        <v>62</v>
      </c>
      <c r="B9" s="5">
        <f t="shared" si="0"/>
        <v>9</v>
      </c>
      <c r="C9" s="4" t="s">
        <v>98</v>
      </c>
      <c r="D9" s="4" t="s">
        <v>98</v>
      </c>
      <c r="E9" s="4" t="s">
        <v>98</v>
      </c>
      <c r="F9" s="4" t="s">
        <v>98</v>
      </c>
      <c r="G9" s="4"/>
      <c r="H9" s="4"/>
    </row>
    <row r="10" spans="1:12" x14ac:dyDescent="0.35">
      <c r="A10" s="5" t="s">
        <v>0</v>
      </c>
      <c r="B10" s="5">
        <f>SUM(B4:B9)</f>
        <v>74</v>
      </c>
      <c r="C10" s="5">
        <f t="shared" ref="C10:L10" si="1">COUNTIF(C4:C9,"*ü*") * C3</f>
        <v>6</v>
      </c>
      <c r="D10" s="5">
        <f t="shared" si="1"/>
        <v>24</v>
      </c>
      <c r="E10" s="5">
        <f t="shared" si="1"/>
        <v>10</v>
      </c>
      <c r="F10" s="5">
        <f t="shared" si="1"/>
        <v>12</v>
      </c>
      <c r="G10" s="5">
        <f t="shared" si="1"/>
        <v>6</v>
      </c>
      <c r="H10" s="5">
        <f t="shared" si="1"/>
        <v>6</v>
      </c>
      <c r="I10" s="5">
        <f t="shared" si="1"/>
        <v>4</v>
      </c>
      <c r="J10" s="5">
        <f t="shared" si="1"/>
        <v>6</v>
      </c>
      <c r="K10" s="5">
        <f t="shared" si="1"/>
        <v>0</v>
      </c>
      <c r="L10" s="5">
        <f t="shared" si="1"/>
        <v>0</v>
      </c>
    </row>
    <row r="12" spans="1:12" x14ac:dyDescent="0.35">
      <c r="A12" s="4" t="s">
        <v>98</v>
      </c>
    </row>
    <row r="13" spans="1:12" x14ac:dyDescent="0.35">
      <c r="A13"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
  <sheetViews>
    <sheetView workbookViewId="0">
      <selection activeCell="C34" sqref="C34"/>
    </sheetView>
  </sheetViews>
  <sheetFormatPr defaultRowHeight="14.5" x14ac:dyDescent="0.35"/>
  <cols>
    <col min="1" max="1" width="15" customWidth="1"/>
    <col min="2" max="2" width="29.7265625" customWidth="1"/>
    <col min="3" max="3" width="14.54296875" customWidth="1"/>
    <col min="4" max="4" width="10.54296875" customWidth="1"/>
    <col min="5" max="19" width="3.7265625" customWidth="1"/>
  </cols>
  <sheetData>
    <row r="1" spans="1:19" x14ac:dyDescent="0.35">
      <c r="A1" s="29"/>
      <c r="B1" s="30" t="s">
        <v>124</v>
      </c>
      <c r="C1" s="30" t="s">
        <v>125</v>
      </c>
      <c r="D1" s="31" t="s">
        <v>126</v>
      </c>
      <c r="E1">
        <v>1</v>
      </c>
      <c r="F1">
        <v>2</v>
      </c>
      <c r="G1">
        <v>3</v>
      </c>
      <c r="H1">
        <v>4</v>
      </c>
      <c r="I1">
        <v>5</v>
      </c>
      <c r="J1">
        <v>6</v>
      </c>
      <c r="K1">
        <v>7</v>
      </c>
      <c r="L1">
        <v>8</v>
      </c>
      <c r="M1">
        <v>9</v>
      </c>
      <c r="N1">
        <v>10</v>
      </c>
      <c r="O1">
        <v>11</v>
      </c>
      <c r="P1">
        <v>12</v>
      </c>
      <c r="Q1">
        <v>13</v>
      </c>
      <c r="R1">
        <v>14</v>
      </c>
      <c r="S1">
        <v>15</v>
      </c>
    </row>
    <row r="2" spans="1:19" x14ac:dyDescent="0.35">
      <c r="A2" s="32" t="s">
        <v>8</v>
      </c>
      <c r="B2" s="33" t="s">
        <v>127</v>
      </c>
      <c r="C2">
        <v>2</v>
      </c>
      <c r="D2" s="34">
        <v>2</v>
      </c>
      <c r="E2" s="3"/>
      <c r="F2" s="3"/>
    </row>
    <row r="3" spans="1:19" x14ac:dyDescent="0.35">
      <c r="A3" s="35"/>
      <c r="B3" s="33" t="s">
        <v>128</v>
      </c>
      <c r="C3">
        <v>5</v>
      </c>
      <c r="D3" s="34">
        <v>6</v>
      </c>
      <c r="K3" s="3"/>
      <c r="L3" s="3"/>
      <c r="M3" s="3"/>
      <c r="N3" s="3"/>
      <c r="O3" s="3"/>
    </row>
    <row r="4" spans="1:19" x14ac:dyDescent="0.35">
      <c r="A4" s="35"/>
      <c r="B4" s="33" t="s">
        <v>129</v>
      </c>
      <c r="C4">
        <v>4</v>
      </c>
      <c r="D4" s="34">
        <v>5</v>
      </c>
      <c r="G4" s="3"/>
      <c r="H4" s="3"/>
      <c r="I4" s="3"/>
      <c r="J4" s="50"/>
    </row>
    <row r="5" spans="1:19" x14ac:dyDescent="0.35">
      <c r="A5" s="35"/>
      <c r="B5" s="33" t="s">
        <v>130</v>
      </c>
      <c r="C5" s="33">
        <f>SUM(C2:C4)</f>
        <v>11</v>
      </c>
      <c r="D5" s="36">
        <f>SUM(D2:D4)</f>
        <v>13</v>
      </c>
    </row>
    <row r="6" spans="1:19" x14ac:dyDescent="0.35">
      <c r="A6" s="32" t="s">
        <v>9</v>
      </c>
      <c r="B6" s="33" t="s">
        <v>127</v>
      </c>
      <c r="C6">
        <v>2</v>
      </c>
      <c r="D6" s="34">
        <v>3</v>
      </c>
      <c r="E6" s="3"/>
      <c r="F6" s="3"/>
    </row>
    <row r="7" spans="1:19" x14ac:dyDescent="0.35">
      <c r="A7" s="35"/>
      <c r="B7" s="33" t="s">
        <v>128</v>
      </c>
      <c r="C7">
        <v>5</v>
      </c>
      <c r="D7" s="34">
        <v>2</v>
      </c>
      <c r="K7" s="3"/>
      <c r="L7" s="3"/>
      <c r="M7" s="3"/>
      <c r="N7" s="3"/>
      <c r="O7" s="3"/>
    </row>
    <row r="8" spans="1:19" x14ac:dyDescent="0.35">
      <c r="A8" s="35"/>
      <c r="B8" s="33" t="s">
        <v>131</v>
      </c>
      <c r="C8">
        <v>4</v>
      </c>
      <c r="D8" s="34">
        <v>5</v>
      </c>
      <c r="G8" s="3"/>
      <c r="H8" s="3"/>
      <c r="I8" s="3"/>
      <c r="J8" s="45"/>
    </row>
    <row r="9" spans="1:19" x14ac:dyDescent="0.35">
      <c r="A9" s="35"/>
      <c r="B9" s="33" t="s">
        <v>130</v>
      </c>
      <c r="C9" s="33">
        <f>SUM(C6:C8)</f>
        <v>11</v>
      </c>
      <c r="D9" s="36">
        <f>SUM(D6:D8)</f>
        <v>10</v>
      </c>
    </row>
    <row r="10" spans="1:19" x14ac:dyDescent="0.35">
      <c r="A10" s="32" t="s">
        <v>10</v>
      </c>
      <c r="B10" s="33" t="s">
        <v>127</v>
      </c>
      <c r="C10">
        <v>1</v>
      </c>
      <c r="D10" s="34">
        <v>1</v>
      </c>
      <c r="E10" s="3"/>
    </row>
    <row r="11" spans="1:19" x14ac:dyDescent="0.35">
      <c r="A11" s="35"/>
      <c r="B11" s="33" t="s">
        <v>128</v>
      </c>
      <c r="C11">
        <v>5</v>
      </c>
      <c r="D11" s="34">
        <v>8</v>
      </c>
      <c r="F11" s="3"/>
      <c r="G11" s="3"/>
      <c r="H11" s="3"/>
      <c r="I11" s="3"/>
      <c r="J11" s="3"/>
    </row>
    <row r="12" spans="1:19" x14ac:dyDescent="0.35">
      <c r="A12" s="35"/>
      <c r="B12" s="37" t="s">
        <v>132</v>
      </c>
      <c r="C12">
        <v>2</v>
      </c>
      <c r="D12" s="34">
        <v>2</v>
      </c>
      <c r="K12" s="45" t="s">
        <v>133</v>
      </c>
      <c r="L12" s="3"/>
    </row>
    <row r="13" spans="1:19" x14ac:dyDescent="0.35">
      <c r="A13" s="35"/>
      <c r="B13" s="37" t="s">
        <v>134</v>
      </c>
      <c r="C13">
        <v>1</v>
      </c>
      <c r="D13" s="34">
        <v>1</v>
      </c>
      <c r="M13" s="45" t="s">
        <v>135</v>
      </c>
    </row>
    <row r="14" spans="1:19" x14ac:dyDescent="0.35">
      <c r="A14" s="35"/>
      <c r="B14" s="37" t="s">
        <v>136</v>
      </c>
      <c r="C14">
        <v>2</v>
      </c>
      <c r="D14" s="34">
        <v>3</v>
      </c>
      <c r="N14" s="45" t="s">
        <v>137</v>
      </c>
      <c r="O14" s="3"/>
    </row>
    <row r="15" spans="1:19" x14ac:dyDescent="0.35">
      <c r="A15" s="35"/>
      <c r="B15" s="38" t="s">
        <v>130</v>
      </c>
      <c r="C15" s="33">
        <f>SUM(C10:C14)</f>
        <v>11</v>
      </c>
      <c r="D15" s="36">
        <f>SUM(D10:D14)</f>
        <v>15</v>
      </c>
    </row>
    <row r="16" spans="1:19" x14ac:dyDescent="0.35">
      <c r="A16" s="32" t="s">
        <v>11</v>
      </c>
      <c r="B16" s="33" t="s">
        <v>127</v>
      </c>
      <c r="C16">
        <v>2</v>
      </c>
      <c r="D16" s="34">
        <v>2</v>
      </c>
      <c r="E16" s="3"/>
      <c r="F16" s="3"/>
    </row>
    <row r="17" spans="1:15" x14ac:dyDescent="0.35">
      <c r="A17" s="35"/>
      <c r="B17" s="33" t="s">
        <v>128</v>
      </c>
      <c r="C17">
        <v>5</v>
      </c>
      <c r="D17" s="34">
        <v>4</v>
      </c>
      <c r="K17" s="3"/>
      <c r="L17" s="3"/>
      <c r="M17" s="3"/>
      <c r="N17" s="3"/>
      <c r="O17" s="3"/>
    </row>
    <row r="18" spans="1:15" x14ac:dyDescent="0.35">
      <c r="A18" s="35"/>
      <c r="B18" s="33" t="s">
        <v>138</v>
      </c>
      <c r="C18">
        <v>4</v>
      </c>
      <c r="D18" s="34">
        <v>5</v>
      </c>
      <c r="G18" s="3"/>
      <c r="H18" s="3"/>
      <c r="I18" s="3"/>
      <c r="J18" s="45"/>
    </row>
    <row r="19" spans="1:15" x14ac:dyDescent="0.35">
      <c r="A19" s="35"/>
      <c r="B19" s="38" t="s">
        <v>130</v>
      </c>
      <c r="C19" s="33">
        <f>SUM(C16:C18)</f>
        <v>11</v>
      </c>
      <c r="D19" s="36">
        <f>SUM(D16:D18)</f>
        <v>11</v>
      </c>
    </row>
    <row r="20" spans="1:15" x14ac:dyDescent="0.35">
      <c r="A20" s="32" t="s">
        <v>12</v>
      </c>
      <c r="B20" s="33" t="s">
        <v>127</v>
      </c>
      <c r="C20">
        <v>2</v>
      </c>
      <c r="D20" s="34">
        <v>2</v>
      </c>
      <c r="E20" s="3"/>
      <c r="F20" s="3"/>
    </row>
    <row r="21" spans="1:15" x14ac:dyDescent="0.35">
      <c r="A21" s="35"/>
      <c r="B21" s="33" t="s">
        <v>128</v>
      </c>
      <c r="C21">
        <v>5</v>
      </c>
      <c r="D21" s="34">
        <v>4</v>
      </c>
      <c r="K21" s="3"/>
      <c r="L21" s="3"/>
      <c r="M21" s="3"/>
      <c r="N21" s="3"/>
      <c r="O21" s="3"/>
    </row>
    <row r="22" spans="1:15" x14ac:dyDescent="0.35">
      <c r="A22" s="35"/>
      <c r="B22" s="33" t="s">
        <v>139</v>
      </c>
      <c r="C22">
        <v>4</v>
      </c>
      <c r="D22" s="34">
        <v>3</v>
      </c>
      <c r="G22" s="3"/>
      <c r="H22" s="3"/>
      <c r="I22" s="3"/>
      <c r="J22" s="45"/>
    </row>
    <row r="23" spans="1:15" x14ac:dyDescent="0.35">
      <c r="A23" s="35"/>
      <c r="B23" s="38" t="s">
        <v>130</v>
      </c>
      <c r="C23" s="33">
        <f>SUM(C20:C22)</f>
        <v>11</v>
      </c>
      <c r="D23" s="36">
        <f>SUM(D20:D22)</f>
        <v>9</v>
      </c>
    </row>
    <row r="24" spans="1:15" x14ac:dyDescent="0.35">
      <c r="A24" s="32" t="s">
        <v>13</v>
      </c>
      <c r="B24" s="33" t="s">
        <v>127</v>
      </c>
      <c r="C24">
        <v>2</v>
      </c>
      <c r="D24" s="34">
        <v>2</v>
      </c>
      <c r="E24" s="3"/>
      <c r="F24" s="3"/>
    </row>
    <row r="25" spans="1:15" x14ac:dyDescent="0.35">
      <c r="A25" s="35"/>
      <c r="B25" s="33" t="s">
        <v>128</v>
      </c>
      <c r="C25">
        <v>5</v>
      </c>
      <c r="D25" s="34">
        <v>4</v>
      </c>
      <c r="K25" s="3"/>
      <c r="L25" s="3"/>
      <c r="M25" s="3"/>
      <c r="N25" s="3"/>
      <c r="O25" s="3"/>
    </row>
    <row r="26" spans="1:15" x14ac:dyDescent="0.35">
      <c r="A26" s="35"/>
      <c r="B26" s="33" t="s">
        <v>140</v>
      </c>
      <c r="C26">
        <v>4</v>
      </c>
      <c r="D26" s="34">
        <v>7</v>
      </c>
      <c r="G26" s="3"/>
      <c r="H26" s="3"/>
      <c r="I26" s="3"/>
      <c r="J26" s="45"/>
    </row>
    <row r="27" spans="1:15" x14ac:dyDescent="0.35">
      <c r="A27" s="35"/>
      <c r="B27" s="38" t="s">
        <v>130</v>
      </c>
      <c r="C27" s="33">
        <f>SUM(C24:C26)</f>
        <v>11</v>
      </c>
      <c r="D27" s="36">
        <f>SUM(D24:D26)</f>
        <v>13</v>
      </c>
    </row>
    <row r="28" spans="1:15" ht="15" thickBot="1" x14ac:dyDescent="0.4">
      <c r="A28" s="39"/>
      <c r="B28" s="40" t="s">
        <v>0</v>
      </c>
      <c r="C28" s="41">
        <f>SUM(C5,C9,C15,C27)</f>
        <v>44</v>
      </c>
      <c r="D28" s="42">
        <f>SUM(D5,D9,D15,D27)</f>
        <v>51</v>
      </c>
    </row>
    <row r="29" spans="1:15" x14ac:dyDescent="0.35">
      <c r="B29" s="28" t="s">
        <v>141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selection activeCell="B1" sqref="B1"/>
    </sheetView>
  </sheetViews>
  <sheetFormatPr defaultRowHeight="14.5" x14ac:dyDescent="0.35"/>
  <cols>
    <col min="1" max="1" width="33.7265625" customWidth="1"/>
  </cols>
  <sheetData>
    <row r="1" spans="1:7" x14ac:dyDescent="0.35">
      <c r="A1" s="5"/>
      <c r="B1" s="5" t="s">
        <v>8</v>
      </c>
      <c r="C1" s="5" t="s">
        <v>142</v>
      </c>
      <c r="D1" s="5" t="s">
        <v>10</v>
      </c>
      <c r="E1" s="5" t="s">
        <v>11</v>
      </c>
      <c r="F1" s="5" t="s">
        <v>12</v>
      </c>
      <c r="G1" s="5" t="s">
        <v>13</v>
      </c>
    </row>
    <row r="2" spans="1:7" x14ac:dyDescent="0.35">
      <c r="A2" s="5" t="s">
        <v>143</v>
      </c>
      <c r="B2">
        <v>10</v>
      </c>
      <c r="C2">
        <v>6</v>
      </c>
      <c r="D2">
        <v>27</v>
      </c>
      <c r="E2">
        <v>9</v>
      </c>
      <c r="F2">
        <v>9</v>
      </c>
      <c r="G2">
        <v>9</v>
      </c>
    </row>
    <row r="3" spans="1:7" x14ac:dyDescent="0.35">
      <c r="A3" s="5" t="s">
        <v>144</v>
      </c>
      <c r="B3">
        <v>2</v>
      </c>
      <c r="C3">
        <v>3</v>
      </c>
      <c r="D3">
        <v>1</v>
      </c>
      <c r="E3">
        <v>6</v>
      </c>
      <c r="F3">
        <v>6</v>
      </c>
      <c r="G3">
        <v>6</v>
      </c>
    </row>
    <row r="4" spans="1:7" x14ac:dyDescent="0.35">
      <c r="A4" s="5" t="s">
        <v>145</v>
      </c>
      <c r="B4">
        <v>1</v>
      </c>
      <c r="C4">
        <v>2</v>
      </c>
      <c r="D4">
        <v>2</v>
      </c>
      <c r="E4">
        <v>1</v>
      </c>
      <c r="F4">
        <v>1</v>
      </c>
      <c r="G4">
        <v>1</v>
      </c>
    </row>
    <row r="5" spans="1:7" x14ac:dyDescent="0.35">
      <c r="A5" s="5" t="s">
        <v>146</v>
      </c>
      <c r="B5">
        <v>4</v>
      </c>
      <c r="C5">
        <v>6</v>
      </c>
      <c r="D5">
        <v>3</v>
      </c>
      <c r="E5">
        <v>7</v>
      </c>
      <c r="F5">
        <v>7</v>
      </c>
      <c r="G5">
        <v>7</v>
      </c>
    </row>
    <row r="6" spans="1:7" x14ac:dyDescent="0.35">
      <c r="A6" s="5" t="s">
        <v>147</v>
      </c>
      <c r="B6">
        <v>8</v>
      </c>
      <c r="C6">
        <v>3</v>
      </c>
      <c r="D6">
        <v>9</v>
      </c>
      <c r="E6">
        <v>11</v>
      </c>
      <c r="F6">
        <v>11</v>
      </c>
      <c r="G6">
        <v>11</v>
      </c>
    </row>
    <row r="7" spans="1:7" x14ac:dyDescent="0.35">
      <c r="A7" s="5" t="s">
        <v>148</v>
      </c>
      <c r="B7">
        <v>1</v>
      </c>
      <c r="C7">
        <v>1</v>
      </c>
      <c r="D7">
        <v>1</v>
      </c>
      <c r="E7">
        <v>1</v>
      </c>
      <c r="F7">
        <v>1</v>
      </c>
      <c r="G7">
        <v>1</v>
      </c>
    </row>
    <row r="8" spans="1:7" x14ac:dyDescent="0.35">
      <c r="A8" s="5"/>
    </row>
    <row r="9" spans="1:7" x14ac:dyDescent="0.35">
      <c r="A9" s="5" t="s">
        <v>0</v>
      </c>
      <c r="B9" s="5">
        <f>SUM(B2:B8)</f>
        <v>26</v>
      </c>
      <c r="C9" s="5">
        <f t="shared" ref="C9:G9" si="0">SUM(C2:C8)</f>
        <v>21</v>
      </c>
      <c r="D9" s="5">
        <f t="shared" si="0"/>
        <v>43</v>
      </c>
      <c r="E9" s="5">
        <f t="shared" si="0"/>
        <v>35</v>
      </c>
      <c r="F9" s="5">
        <f t="shared" si="0"/>
        <v>35</v>
      </c>
      <c r="G9" s="5">
        <f t="shared" si="0"/>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Management Summary</vt:lpstr>
      <vt:lpstr>Gantt</vt:lpstr>
      <vt:lpstr>Team Mate Delverables</vt:lpstr>
      <vt:lpstr>Meetings</vt:lpstr>
      <vt:lpstr>SA</vt:lpstr>
      <vt:lpstr>Overhead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pizza</dc:creator>
  <cp:keywords/>
  <dc:description/>
  <cp:lastModifiedBy>Kaur, Gurneet (gurn3584@vandals.uidaho.edu)</cp:lastModifiedBy>
  <cp:revision/>
  <dcterms:created xsi:type="dcterms:W3CDTF">2018-11-06T05:29:55Z</dcterms:created>
  <dcterms:modified xsi:type="dcterms:W3CDTF">2025-11-13T05:11:04Z</dcterms:modified>
  <cp:category/>
  <cp:contentStatus/>
</cp:coreProperties>
</file>